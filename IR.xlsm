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59548f0891359f02/Documentos/AULAS.DIVERSAS/DIO/EXCEL_IA/"/>
    </mc:Choice>
  </mc:AlternateContent>
  <xr:revisionPtr revIDLastSave="555" documentId="8_{019F967D-BBBB-47EB-B417-DB10AB5733B6}" xr6:coauthVersionLast="47" xr6:coauthVersionMax="47" xr10:uidLastSave="{6FFD3F92-C5D8-42B6-9ADB-FEA472754264}"/>
  <bookViews>
    <workbookView xWindow="-120" yWindow="-120" windowWidth="29040" windowHeight="15720" tabRatio="0" firstSheet="2" activeTab="2" xr2:uid="{00000000-000D-0000-FFFF-FFFF00000000}"/>
  </bookViews>
  <sheets>
    <sheet name="TITULAR" sheetId="4" r:id="rId1"/>
    <sheet name="INFORMES" sheetId="16" r:id="rId2"/>
    <sheet name="NOTAS" sheetId="18" r:id="rId3"/>
    <sheet name="APOIO" sheetId="17" state="hidden" r:id="rId4"/>
    <sheet name="cálculos" sheetId="2" state="hidden" r:id="rId5"/>
  </sheets>
  <definedNames>
    <definedName name="DatasGráfico" localSheetId="1">CHOOSE([0]!TabelaGráfico,#REF!,#REF!)</definedName>
    <definedName name="DatasGráfico" localSheetId="2">CHOOSE([0]!TabelaGráfico,#REF!,#REF!)</definedName>
    <definedName name="DatasGráfico">CHOOSE(TabelaGráfico,#REF!,#REF!)</definedName>
    <definedName name="NOTAS" localSheetId="1">CHOOSE([0]!TabelaGráfico,#REF!,#REF!)</definedName>
    <definedName name="NOTAS" localSheetId="2">CHOOSE([0]!TabelaGráfico,#REF!,#REF!)</definedName>
    <definedName name="NOTAS">CHOOSE([0]!TabelaGráfico,#REF!,#REF!)</definedName>
    <definedName name="PlotarEscolha">#REF!</definedName>
    <definedName name="QuilometragemInicial">#REF!</definedName>
    <definedName name="TabelaGráfico">IF(PlotarEscolha="COMBUSTÍVEL",1,2)</definedName>
    <definedName name="ValoresGráfico" localSheetId="1">CHOOSE([0]!TabelaGráfico,#REF!,#REF!)</definedName>
    <definedName name="ValoresGráfico" localSheetId="2">CHOOSE([0]!TabelaGráfico,#REF!,#REF!)</definedName>
    <definedName name="ValoresGráfico">CHOOSE(TabelaGráfico,#REF!,#REF!)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6" l="1"/>
  <c r="C6" i="2" l="1"/>
  <c r="C5" i="2"/>
  <c r="C4" i="2"/>
</calcChain>
</file>

<file path=xl/sharedStrings.xml><?xml version="1.0" encoding="utf-8"?>
<sst xmlns="http://schemas.openxmlformats.org/spreadsheetml/2006/main" count="116" uniqueCount="102">
  <si>
    <t>DATA</t>
  </si>
  <si>
    <t>TOTAL</t>
  </si>
  <si>
    <t>MANUT.</t>
  </si>
  <si>
    <t>***Esta planilha deve permanecer oculta***</t>
  </si>
  <si>
    <t>FINANC.</t>
  </si>
  <si>
    <t>COMBUS.</t>
  </si>
  <si>
    <t>System by Folha Invest Ltda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</si>
  <si>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</si>
  <si>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</si>
  <si>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</si>
  <si>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</si>
  <si>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</si>
  <si>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</si>
  <si>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</si>
  <si>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</si>
  <si>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</si>
  <si>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</si>
  <si>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</si>
  <si>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ANTERIOR?</t>
  </si>
  <si>
    <t>RESIDENTE DO EXTERIOR?</t>
  </si>
  <si>
    <t>1. DADOS DO TITULAR</t>
  </si>
  <si>
    <t>Preencha os dados da sua pessoa física abaixo</t>
  </si>
  <si>
    <t>DEPENDENTE CÔNJUGE?</t>
  </si>
  <si>
    <t>SIM</t>
  </si>
  <si>
    <t>NÃO</t>
  </si>
  <si>
    <t>MÁRCIA CRISTINA FOLHA</t>
  </si>
  <si>
    <t>DOS LIMOEIROS, 180</t>
  </si>
  <si>
    <t>98765-172</t>
  </si>
  <si>
    <t>marcia.cf@gmail.com</t>
  </si>
  <si>
    <t>2. INFORMES DE RENDIMENTOS BANCÁRIOS</t>
  </si>
  <si>
    <t>Preencha com seus dados atuais de cada banco</t>
  </si>
  <si>
    <t>BANCO</t>
  </si>
  <si>
    <t>VALOR ATUAL</t>
  </si>
  <si>
    <t>ANEXO🖇️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</si>
  <si>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</si>
  <si>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</si>
  <si>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</si>
  <si>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</si>
  <si>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</si>
  <si>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</si>
  <si>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</si>
  <si>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</si>
  <si>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</si>
  <si>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</si>
  <si>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</si>
  <si>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</si>
  <si>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</si>
  <si>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</si>
  <si>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</si>
  <si>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</si>
  <si>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</si>
  <si>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</si>
  <si>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</si>
  <si>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</si>
  <si>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</si>
  <si>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</si>
  <si>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</si>
  <si>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</si>
  <si>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</si>
  <si>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</si>
  <si>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</si>
  <si>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</si>
  <si>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</si>
  <si>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</si>
  <si>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</si>
  <si>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</si>
  <si>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</si>
  <si>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</si>
  <si>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</si>
  <si>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</si>
  <si>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</si>
  <si>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</si>
  <si>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</si>
  <si>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</si>
  <si>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</si>
  <si>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</si>
  <si>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</si>
  <si>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</si>
  <si>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</si>
  <si>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</si>
  <si>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</si>
  <si>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</si>
  <si>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</si>
  <si>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</si>
  <si>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</si>
  <si>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Banco 1</t>
  </si>
  <si>
    <t>Banco 2</t>
  </si>
  <si>
    <t>Banco 3</t>
  </si>
  <si>
    <t>São todos os valores de entrada mês a mês de receita</t>
  </si>
  <si>
    <t>3. NOTAS BANCÁRIAS OU EXTRATO DE HOLERITES</t>
  </si>
  <si>
    <t>ENTRADAS</t>
  </si>
  <si>
    <t>CATEGORIA</t>
  </si>
  <si>
    <t>VALOR</t>
  </si>
  <si>
    <t>Categoria</t>
  </si>
  <si>
    <t>HOLERITE</t>
  </si>
  <si>
    <t>CNPJ</t>
  </si>
  <si>
    <t>FREELANCE</t>
  </si>
  <si>
    <t>ALUGUEL</t>
  </si>
  <si>
    <t>AUTÔNOMO</t>
  </si>
  <si>
    <t>Banco_Santander.PDF</t>
  </si>
  <si>
    <t>Banco_CX.PDF</t>
  </si>
  <si>
    <t>Banco.Nub.PDF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</si>
</sst>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"/>
    <numFmt numFmtId="167" formatCode="&quot;R$&quot;\ #,##0.00"/>
    <numFmt numFmtId="173" formatCode="000&quot;.&quot;000&quot;.&quot;000&quot;-&quot;00"/>
    <numFmt numFmtId="174" formatCode="00&quot;/&quot;00&quot;/&quot;0000"/>
    <numFmt numFmtId="175" formatCode="&quot;(&quot;00&quot;)&quot;\ 0000&quot;-&quot;0000"/>
    <numFmt numFmtId="176" formatCode="&quot;(&quot;00&quot;)&quot;\ 00000&quot;-&quot;0000"/>
  </numFmts>
  <fonts count="21" x14ac:knownFonts="1">
    <font>
      <sz val="12"/>
      <color theme="1" tint="0.1499374370555742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4"/>
      <color theme="1" tint="0.14996795556505021"/>
      <name val="Calibri"/>
      <family val="2"/>
      <scheme val="minor"/>
    </font>
    <font>
      <sz val="14"/>
      <color theme="2"/>
      <name val="Calibri"/>
      <family val="2"/>
      <scheme val="minor"/>
    </font>
    <font>
      <sz val="28"/>
      <color theme="4"/>
      <name val="Calibri"/>
      <family val="2"/>
      <scheme val="minor"/>
    </font>
    <font>
      <sz val="22"/>
      <color theme="1" tint="0.14993743705557422"/>
      <name val="Calibri"/>
      <family val="2"/>
      <scheme val="major"/>
    </font>
    <font>
      <sz val="10"/>
      <color theme="3"/>
      <name val="Calibri"/>
      <family val="2"/>
      <scheme val="minor"/>
    </font>
    <font>
      <sz val="11"/>
      <color theme="1" tint="0.14993743705557422"/>
      <name val="Segoe UI Light"/>
      <family val="2"/>
    </font>
    <font>
      <sz val="15"/>
      <color theme="4"/>
      <name val="Aptos Narrow"/>
      <family val="2"/>
    </font>
    <font>
      <b/>
      <sz val="15"/>
      <color rgb="FF0B3041"/>
      <name val="Aptos Narrow"/>
      <family val="2"/>
    </font>
    <font>
      <sz val="11"/>
      <color theme="1" tint="0.14993743705557422"/>
      <name val="Aptos Narrow"/>
      <family val="2"/>
    </font>
    <font>
      <i/>
      <sz val="11"/>
      <color theme="1" tint="0.14993743705557422"/>
      <name val="Aptos Narrow"/>
      <family val="2"/>
    </font>
    <font>
      <sz val="11"/>
      <color theme="1"/>
      <name val="Aptos Narrow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sz val="9"/>
      <color theme="2" tint="-0.499984740745262"/>
      <name val="Aptos Narrow"/>
      <family val="2"/>
    </font>
    <font>
      <b/>
      <sz val="11"/>
      <color theme="0"/>
      <name val="Segoe UI Light"/>
      <family val="2"/>
    </font>
    <font>
      <b/>
      <sz val="12"/>
      <color theme="1" tint="0.14993743705557422"/>
      <name val="Segoe UI"/>
      <family val="2"/>
    </font>
    <font>
      <sz val="11"/>
      <color theme="1" tint="0.14999847407452621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3" tint="0.749961851863155"/>
      </top>
      <bottom style="thin">
        <color theme="3" tint="0.749961851863155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0">
    <xf numFmtId="0" fontId="0" fillId="2" borderId="0">
      <alignment horizontal="left" vertical="center"/>
    </xf>
    <xf numFmtId="0" fontId="6" fillId="0" borderId="0" applyNumberFormat="0" applyFill="0" applyBorder="0" applyAlignment="0" applyProtection="0"/>
    <xf numFmtId="3" fontId="2" fillId="0" borderId="0" applyFont="0" applyFill="0" applyBorder="0" applyProtection="0">
      <alignment horizontal="left" vertical="center"/>
    </xf>
    <xf numFmtId="164" fontId="2" fillId="0" borderId="0" applyFont="0" applyFill="0" applyBorder="0" applyProtection="0">
      <alignment horizontal="left" vertical="center"/>
    </xf>
    <xf numFmtId="0" fontId="5" fillId="0" borderId="0" applyNumberFormat="0" applyFill="0" applyBorder="0" applyProtection="0">
      <alignment vertical="center"/>
    </xf>
    <xf numFmtId="0" fontId="4" fillId="3" borderId="1" applyNumberFormat="0" applyBorder="0" applyProtection="0">
      <alignment horizontal="center" vertical="center"/>
    </xf>
    <xf numFmtId="0" fontId="3" fillId="2" borderId="0" applyFont="0" applyFill="0" applyBorder="0" applyAlignment="0" applyProtection="0">
      <alignment horizontal="left" vertical="center"/>
    </xf>
    <xf numFmtId="0" fontId="7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14" fillId="2" borderId="0" applyNumberFormat="0" applyFill="0" applyBorder="0" applyAlignment="0" applyProtection="0">
      <alignment horizontal="left" vertical="center"/>
    </xf>
  </cellStyleXfs>
  <cellXfs count="33">
    <xf numFmtId="0" fontId="0" fillId="2" borderId="0" xfId="0">
      <alignment horizontal="left" vertical="center"/>
    </xf>
    <xf numFmtId="0" fontId="0" fillId="4" borderId="0" xfId="0" applyFill="1">
      <alignment horizontal="left" vertical="center"/>
    </xf>
    <xf numFmtId="0" fontId="0" fillId="4" borderId="0" xfId="0" applyFill="1" applyAlignment="1">
      <alignment horizontal="center" vertical="center"/>
    </xf>
    <xf numFmtId="0" fontId="10" fillId="2" borderId="0" xfId="4" applyFont="1" applyFill="1" applyBorder="1">
      <alignment vertical="center"/>
    </xf>
    <xf numFmtId="0" fontId="9" fillId="2" borderId="0" xfId="4" applyFont="1" applyFill="1" applyBorder="1">
      <alignment vertical="center"/>
    </xf>
    <xf numFmtId="0" fontId="0" fillId="6" borderId="2" xfId="0" applyFill="1" applyBorder="1">
      <alignment horizontal="left" vertical="center"/>
    </xf>
    <xf numFmtId="0" fontId="8" fillId="2" borderId="3" xfId="0" applyFont="1" applyBorder="1" applyAlignment="1">
      <alignment horizontal="right"/>
    </xf>
    <xf numFmtId="0" fontId="12" fillId="6" borderId="2" xfId="0" applyFont="1" applyFill="1" applyBorder="1" applyAlignment="1">
      <alignment horizontal="left" vertical="center" indent="2"/>
    </xf>
    <xf numFmtId="0" fontId="15" fillId="2" borderId="0" xfId="0" applyFont="1" applyAlignment="1"/>
    <xf numFmtId="0" fontId="17" fillId="2" borderId="0" xfId="0" applyFont="1" applyAlignment="1">
      <alignment horizontal="left"/>
    </xf>
    <xf numFmtId="0" fontId="13" fillId="2" borderId="3" xfId="8" applyFont="1" applyFill="1" applyBorder="1" applyAlignment="1">
      <alignment horizontal="left" vertical="center"/>
    </xf>
    <xf numFmtId="167" fontId="13" fillId="5" borderId="5" xfId="8" applyNumberFormat="1" applyFont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167" fontId="18" fillId="3" borderId="0" xfId="8" applyNumberFormat="1" applyFont="1" applyFill="1" applyBorder="1" applyAlignment="1">
      <alignment horizontal="center"/>
    </xf>
    <xf numFmtId="0" fontId="15" fillId="8" borderId="0" xfId="0" applyFont="1" applyFill="1" applyAlignment="1"/>
    <xf numFmtId="0" fontId="16" fillId="7" borderId="4" xfId="0" applyFont="1" applyFill="1" applyBorder="1" applyAlignment="1"/>
    <xf numFmtId="167" fontId="11" fillId="2" borderId="6" xfId="0" applyNumberFormat="1" applyFont="1" applyBorder="1" applyAlignment="1">
      <alignment vertical="center"/>
    </xf>
    <xf numFmtId="14" fontId="20" fillId="2" borderId="6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horizontal="left"/>
    </xf>
    <xf numFmtId="0" fontId="20" fillId="2" borderId="0" xfId="0" applyFont="1" applyFill="1" applyAlignment="1">
      <alignment horizontal="left"/>
    </xf>
    <xf numFmtId="167" fontId="11" fillId="2" borderId="0" xfId="0" applyNumberFormat="1" applyFont="1" applyAlignment="1">
      <alignment vertical="center"/>
    </xf>
    <xf numFmtId="0" fontId="11" fillId="2" borderId="7" xfId="0" applyFont="1" applyFill="1" applyBorder="1">
      <alignment horizontal="left" vertical="center"/>
    </xf>
    <xf numFmtId="0" fontId="13" fillId="2" borderId="8" xfId="8" applyFont="1" applyFill="1" applyBorder="1" applyAlignment="1">
      <alignment horizontal="left" vertical="center"/>
    </xf>
    <xf numFmtId="167" fontId="13" fillId="2" borderId="8" xfId="8" applyNumberFormat="1" applyFont="1" applyFill="1" applyBorder="1" applyAlignment="1">
      <alignment horizontal="left" vertical="center"/>
    </xf>
    <xf numFmtId="174" fontId="13" fillId="2" borderId="8" xfId="8" applyNumberFormat="1" applyFont="1" applyFill="1" applyBorder="1" applyAlignment="1">
      <alignment horizontal="left" vertical="center"/>
    </xf>
    <xf numFmtId="0" fontId="11" fillId="2" borderId="8" xfId="0" applyFont="1" applyFill="1" applyBorder="1">
      <alignment horizontal="left" vertical="center"/>
    </xf>
    <xf numFmtId="0" fontId="13" fillId="5" borderId="3" xfId="8" applyFont="1" applyBorder="1" applyAlignment="1" applyProtection="1">
      <alignment horizontal="left" vertical="center"/>
      <protection locked="0"/>
    </xf>
    <xf numFmtId="173" fontId="13" fillId="5" borderId="3" xfId="8" applyNumberFormat="1" applyFont="1" applyBorder="1" applyAlignment="1" applyProtection="1">
      <alignment horizontal="left" vertical="center"/>
      <protection locked="0"/>
    </xf>
    <xf numFmtId="174" fontId="13" fillId="5" borderId="3" xfId="8" applyNumberFormat="1" applyFont="1" applyBorder="1" applyAlignment="1" applyProtection="1">
      <alignment horizontal="left" vertical="center"/>
      <protection locked="0"/>
    </xf>
    <xf numFmtId="175" fontId="13" fillId="5" borderId="3" xfId="8" applyNumberFormat="1" applyFont="1" applyBorder="1" applyAlignment="1" applyProtection="1">
      <alignment horizontal="left" vertical="center"/>
      <protection locked="0"/>
    </xf>
    <xf numFmtId="176" fontId="13" fillId="5" borderId="3" xfId="8" applyNumberFormat="1" applyFont="1" applyBorder="1" applyAlignment="1" applyProtection="1">
      <alignment horizontal="left" vertical="center"/>
      <protection locked="0"/>
    </xf>
    <xf numFmtId="0" fontId="14" fillId="5" borderId="3" xfId="9" applyFill="1" applyBorder="1" applyAlignment="1" applyProtection="1">
      <alignment horizontal="left" vertical="center"/>
      <protection locked="0"/>
    </xf>
    <xf numFmtId="167" fontId="13" fillId="5" borderId="3" xfId="8" applyNumberFormat="1" applyFont="1" applyBorder="1" applyAlignment="1" applyProtection="1">
      <alignment horizontal="left" vertical="center"/>
      <protection locked="0"/>
    </xf>
  </cellXfs>
  <cellStyles count="10">
    <cellStyle name="40% - Ênfase3" xfId="8" builtinId="39"/>
    <cellStyle name="Custo" xfId="3" xr:uid="{00000000-0005-0000-0000-000000000000}"/>
    <cellStyle name="Entrada" xfId="5" builtinId="20" customBuiltin="1"/>
    <cellStyle name="Hiperlink" xfId="9" builtinId="8"/>
    <cellStyle name="Litros" xfId="6" xr:uid="{00000000-0005-0000-0000-000002000000}"/>
    <cellStyle name="Normal" xfId="0" builtinId="0" customBuiltin="1"/>
    <cellStyle name="Odom" xfId="2" xr:uid="{00000000-0005-0000-0000-000004000000}"/>
    <cellStyle name="Título 1" xfId="4" builtinId="16" customBuiltin="1"/>
    <cellStyle name="Título 2" xfId="1" builtinId="17" customBuiltin="1"/>
    <cellStyle name="Título 3" xfId="7" builtinId="18" customBuiltin="1"/>
  </cellStyles>
  <dxfs count="16">
    <dxf>
      <font>
        <color theme="4"/>
      </font>
    </dxf>
    <dxf>
      <border>
        <top style="medium">
          <color theme="0"/>
        </top>
        <bottom style="thin">
          <color theme="5"/>
        </bottom>
        <vertical style="thin">
          <color theme="0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&quot;R$&quot;\ #,##0.0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border outline="0">
        <bottom style="medium">
          <color theme="1"/>
        </bottom>
      </border>
    </dxf>
    <dxf>
      <border outline="0">
        <top style="medium">
          <color theme="1"/>
        </top>
      </border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Segoe UI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</dxf>
  </dxfs>
  <tableStyles count="1" defaultTableStyle="Diário de Bordo do Automóvel" defaultPivotStyle="PivotStyleLight16">
    <tableStyle name="Diário de Bordo do Automóvel" pivot="0" count="3" xr9:uid="{00000000-0011-0000-FFFF-FFFF00000000}">
      <tableStyleElement type="wholeTable" dxfId="1"/>
      <tableStyleElement type="headerRow" dxfId="0"/>
    </tableStyle>
  </tableStyles>
  <colors>
    <mruColors>
      <color rgb="FF18678B"/>
      <color rgb="FF12506C"/>
      <color rgb="FF0B3041"/>
      <color rgb="FFC3E6F5"/>
      <color rgb="FF239CD2"/>
      <color rgb="FF1A7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hyperlink" Target="#INFORMES!C1"/><Relationship Id="rId7" Type="http://schemas.openxmlformats.org/officeDocument/2006/relationships/image" Target="../media/image2.png"/><Relationship Id="rId2" Type="http://schemas.openxmlformats.org/officeDocument/2006/relationships/hyperlink" Target="#NOTAS!C1"/><Relationship Id="rId1" Type="http://schemas.openxmlformats.org/officeDocument/2006/relationships/hyperlink" Target="#TITULAR!C1"/><Relationship Id="rId6" Type="http://schemas.openxmlformats.org/officeDocument/2006/relationships/hyperlink" Target="#INFORMES!D10"/><Relationship Id="rId5" Type="http://schemas.openxmlformats.org/officeDocument/2006/relationships/image" Target="../media/image1.png"/><Relationship Id="rId4" Type="http://schemas.openxmlformats.org/officeDocument/2006/relationships/hyperlink" Target="https://www.linkedin.com/in/marciaribeiro-comex/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hyperlink" Target="#INFORMES!C1"/><Relationship Id="rId7" Type="http://schemas.openxmlformats.org/officeDocument/2006/relationships/image" Target="../media/image2.png"/><Relationship Id="rId2" Type="http://schemas.openxmlformats.org/officeDocument/2006/relationships/hyperlink" Target="#NOTAS!C1"/><Relationship Id="rId1" Type="http://schemas.openxmlformats.org/officeDocument/2006/relationships/hyperlink" Target="#TITULAR!C1"/><Relationship Id="rId6" Type="http://schemas.openxmlformats.org/officeDocument/2006/relationships/hyperlink" Target="#TITULAR!D6"/><Relationship Id="rId5" Type="http://schemas.openxmlformats.org/officeDocument/2006/relationships/image" Target="../media/image1.png"/><Relationship Id="rId4" Type="http://schemas.openxmlformats.org/officeDocument/2006/relationships/hyperlink" Target="https://www.linkedin.com/in/marciaribeiro-comex/" TargetMode="External"/><Relationship Id="rId9" Type="http://schemas.openxmlformats.org/officeDocument/2006/relationships/hyperlink" Target="#NOTAS!C10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NOTAS!C1"/><Relationship Id="rId3" Type="http://schemas.openxmlformats.org/officeDocument/2006/relationships/hyperlink" Target="https://www.linkedin.com/in/marciaribeiro-comex/" TargetMode="External"/><Relationship Id="rId7" Type="http://schemas.openxmlformats.org/officeDocument/2006/relationships/image" Target="../media/image3.svg"/><Relationship Id="rId2" Type="http://schemas.openxmlformats.org/officeDocument/2006/relationships/hyperlink" Target="#INFORMES!C1"/><Relationship Id="rId1" Type="http://schemas.openxmlformats.org/officeDocument/2006/relationships/hyperlink" Target="#TITULAR!C1"/><Relationship Id="rId6" Type="http://schemas.openxmlformats.org/officeDocument/2006/relationships/image" Target="../media/image2.png"/><Relationship Id="rId5" Type="http://schemas.openxmlformats.org/officeDocument/2006/relationships/hyperlink" Target="#TITULAR!D6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812063</xdr:colOff>
      <xdr:row>2</xdr:row>
      <xdr:rowOff>228598</xdr:rowOff>
    </xdr:from>
    <xdr:to>
      <xdr:col>0</xdr:col>
      <xdr:colOff>1712063</xdr:colOff>
      <xdr:row>7</xdr:row>
      <xdr:rowOff>52273</xdr:rowOff>
    </xdr:to>
    <xdr:sp macro="" textlink="">
      <xdr:nvSpPr>
        <xdr:cNvPr id="20" name="Gráfico 2" descr="Folha com preenchimento sólido">
          <a:extLst>
            <a:ext uri="{FF2B5EF4-FFF2-40B4-BE49-F238E27FC236}">
              <a16:creationId xmlns:a16="http://schemas.microsoft.com/office/drawing/2014/main" id="{F4A24B25-67C8-2429-4060-C4123E1F58F6}"/>
            </a:ext>
          </a:extLst>
        </xdr:cNvPr>
        <xdr:cNvSpPr/>
      </xdr:nvSpPr>
      <xdr:spPr>
        <a:xfrm>
          <a:off x="812063" y="628648"/>
          <a:ext cx="900000" cy="900000"/>
        </a:xfrm>
        <a:custGeom>
          <a:avLst/>
          <a:gdLst>
            <a:gd name="connsiteX0" fmla="*/ 314325 w 676275"/>
            <a:gd name="connsiteY0" fmla="*/ 57150 h 648652"/>
            <a:gd name="connsiteX1" fmla="*/ 47625 w 676275"/>
            <a:gd name="connsiteY1" fmla="*/ 323850 h 648652"/>
            <a:gd name="connsiteX2" fmla="*/ 80963 w 676275"/>
            <a:gd name="connsiteY2" fmla="*/ 452438 h 648652"/>
            <a:gd name="connsiteX3" fmla="*/ 146685 w 676275"/>
            <a:gd name="connsiteY3" fmla="*/ 387668 h 648652"/>
            <a:gd name="connsiteX4" fmla="*/ 336233 w 676275"/>
            <a:gd name="connsiteY4" fmla="*/ 232410 h 648652"/>
            <a:gd name="connsiteX5" fmla="*/ 348615 w 676275"/>
            <a:gd name="connsiteY5" fmla="*/ 227648 h 648652"/>
            <a:gd name="connsiteX6" fmla="*/ 367665 w 676275"/>
            <a:gd name="connsiteY6" fmla="*/ 246698 h 648652"/>
            <a:gd name="connsiteX7" fmla="*/ 360045 w 676275"/>
            <a:gd name="connsiteY7" fmla="*/ 261938 h 648652"/>
            <a:gd name="connsiteX8" fmla="*/ 360045 w 676275"/>
            <a:gd name="connsiteY8" fmla="*/ 261938 h 648652"/>
            <a:gd name="connsiteX9" fmla="*/ 86678 w 676275"/>
            <a:gd name="connsiteY9" fmla="*/ 502920 h 648652"/>
            <a:gd name="connsiteX10" fmla="*/ 71438 w 676275"/>
            <a:gd name="connsiteY10" fmla="*/ 520065 h 648652"/>
            <a:gd name="connsiteX11" fmla="*/ 71438 w 676275"/>
            <a:gd name="connsiteY11" fmla="*/ 520065 h 648652"/>
            <a:gd name="connsiteX12" fmla="*/ 0 w 676275"/>
            <a:gd name="connsiteY12" fmla="*/ 648653 h 648652"/>
            <a:gd name="connsiteX13" fmla="*/ 57150 w 676275"/>
            <a:gd name="connsiteY13" fmla="*/ 648653 h 648652"/>
            <a:gd name="connsiteX14" fmla="*/ 140970 w 676275"/>
            <a:gd name="connsiteY14" fmla="*/ 527685 h 648652"/>
            <a:gd name="connsiteX15" fmla="*/ 314325 w 676275"/>
            <a:gd name="connsiteY15" fmla="*/ 591503 h 648652"/>
            <a:gd name="connsiteX16" fmla="*/ 446723 w 676275"/>
            <a:gd name="connsiteY16" fmla="*/ 556260 h 648652"/>
            <a:gd name="connsiteX17" fmla="*/ 446723 w 676275"/>
            <a:gd name="connsiteY17" fmla="*/ 556260 h 648652"/>
            <a:gd name="connsiteX18" fmla="*/ 676275 w 676275"/>
            <a:gd name="connsiteY18" fmla="*/ 0 h 648652"/>
            <a:gd name="connsiteX19" fmla="*/ 314325 w 676275"/>
            <a:gd name="connsiteY19" fmla="*/ 57150 h 6486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676275" h="648652">
              <a:moveTo>
                <a:pt x="314325" y="57150"/>
              </a:moveTo>
              <a:cubicBezTo>
                <a:pt x="166688" y="57150"/>
                <a:pt x="47625" y="176213"/>
                <a:pt x="47625" y="323850"/>
              </a:cubicBezTo>
              <a:cubicBezTo>
                <a:pt x="47625" y="370523"/>
                <a:pt x="60007" y="414338"/>
                <a:pt x="80963" y="452438"/>
              </a:cubicBezTo>
              <a:cubicBezTo>
                <a:pt x="100965" y="431483"/>
                <a:pt x="122873" y="410528"/>
                <a:pt x="146685" y="387668"/>
              </a:cubicBezTo>
              <a:cubicBezTo>
                <a:pt x="206693" y="331470"/>
                <a:pt x="277178" y="274320"/>
                <a:pt x="336233" y="232410"/>
              </a:cubicBezTo>
              <a:cubicBezTo>
                <a:pt x="340043" y="229552"/>
                <a:pt x="343853" y="227648"/>
                <a:pt x="348615" y="227648"/>
              </a:cubicBezTo>
              <a:cubicBezTo>
                <a:pt x="359093" y="227648"/>
                <a:pt x="367665" y="236220"/>
                <a:pt x="367665" y="246698"/>
              </a:cubicBezTo>
              <a:cubicBezTo>
                <a:pt x="367665" y="253365"/>
                <a:pt x="364808" y="258127"/>
                <a:pt x="360045" y="261938"/>
              </a:cubicBezTo>
              <a:lnTo>
                <a:pt x="360045" y="261938"/>
              </a:lnTo>
              <a:cubicBezTo>
                <a:pt x="275273" y="322898"/>
                <a:pt x="162878" y="417195"/>
                <a:pt x="86678" y="502920"/>
              </a:cubicBezTo>
              <a:cubicBezTo>
                <a:pt x="86678" y="502920"/>
                <a:pt x="76200" y="514350"/>
                <a:pt x="71438" y="520065"/>
              </a:cubicBezTo>
              <a:lnTo>
                <a:pt x="71438" y="520065"/>
              </a:lnTo>
              <a:cubicBezTo>
                <a:pt x="28575" y="570548"/>
                <a:pt x="0" y="616268"/>
                <a:pt x="0" y="648653"/>
              </a:cubicBezTo>
              <a:lnTo>
                <a:pt x="57150" y="648653"/>
              </a:lnTo>
              <a:cubicBezTo>
                <a:pt x="57150" y="627698"/>
                <a:pt x="90488" y="581978"/>
                <a:pt x="140970" y="527685"/>
              </a:cubicBezTo>
              <a:cubicBezTo>
                <a:pt x="187643" y="567690"/>
                <a:pt x="247650" y="591503"/>
                <a:pt x="314325" y="591503"/>
              </a:cubicBezTo>
              <a:cubicBezTo>
                <a:pt x="361950" y="591503"/>
                <a:pt x="407670" y="579120"/>
                <a:pt x="446723" y="556260"/>
              </a:cubicBezTo>
              <a:lnTo>
                <a:pt x="446723" y="556260"/>
              </a:lnTo>
              <a:cubicBezTo>
                <a:pt x="650558" y="442913"/>
                <a:pt x="676275" y="234315"/>
                <a:pt x="676275" y="0"/>
              </a:cubicBezTo>
              <a:cubicBezTo>
                <a:pt x="676275" y="0"/>
                <a:pt x="454343" y="60960"/>
                <a:pt x="314325" y="57150"/>
              </a:cubicBezTo>
              <a:close/>
            </a:path>
          </a:pathLst>
        </a:custGeom>
        <a:solidFill>
          <a:srgbClr val="0B304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pt-BR"/>
        </a:p>
      </xdr:txBody>
    </xdr:sp>
    <xdr:clientData/>
  </xdr:twoCellAnchor>
  <xdr:twoCellAnchor editAs="absolute">
    <xdr:from>
      <xdr:col>0</xdr:col>
      <xdr:colOff>1</xdr:colOff>
      <xdr:row>0</xdr:row>
      <xdr:rowOff>114300</xdr:rowOff>
    </xdr:from>
    <xdr:to>
      <xdr:col>1</xdr:col>
      <xdr:colOff>0</xdr:colOff>
      <xdr:row>2</xdr:row>
      <xdr:rowOff>168220</xdr:rowOff>
    </xdr:to>
    <xdr:sp macro="" textlink="">
      <xdr:nvSpPr>
        <xdr:cNvPr id="18" name="Retângulo 3">
          <a:extLst>
            <a:ext uri="{FF2B5EF4-FFF2-40B4-BE49-F238E27FC236}">
              <a16:creationId xmlns:a16="http://schemas.microsoft.com/office/drawing/2014/main" id="{6841D263-7A6C-9045-063C-47F2FBB47718}"/>
            </a:ext>
          </a:extLst>
        </xdr:cNvPr>
        <xdr:cNvSpPr/>
      </xdr:nvSpPr>
      <xdr:spPr>
        <a:xfrm>
          <a:off x="1" y="114300"/>
          <a:ext cx="2524124" cy="4539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 w="0"/>
              <a:gradFill flip="none" rotWithShape="1">
                <a:gsLst>
                  <a:gs pos="0">
                    <a:schemeClr val="bg2"/>
                  </a:gs>
                  <a:gs pos="42000">
                    <a:srgbClr val="12506C">
                      <a:lumMod val="98000"/>
                      <a:lumOff val="2000"/>
                    </a:srgbClr>
                  </a:gs>
                  <a:gs pos="100000">
                    <a:srgbClr val="0B3041"/>
                  </a:gs>
                </a:gsLst>
                <a:lin ang="0" scaled="1"/>
                <a:tileRect/>
              </a:gra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Arial Black" panose="020B0A04020102020204" pitchFamily="34" charset="0"/>
            </a:rPr>
            <a:t>FOLHA APP</a:t>
          </a:r>
        </a:p>
      </xdr:txBody>
    </xdr:sp>
    <xdr:clientData/>
  </xdr:twoCellAnchor>
  <xdr:twoCellAnchor editAs="absolute">
    <xdr:from>
      <xdr:col>0</xdr:col>
      <xdr:colOff>142876</xdr:colOff>
      <xdr:row>10</xdr:row>
      <xdr:rowOff>49324</xdr:rowOff>
    </xdr:from>
    <xdr:to>
      <xdr:col>0</xdr:col>
      <xdr:colOff>2381251</xdr:colOff>
      <xdr:row>12</xdr:row>
      <xdr:rowOff>29824</xdr:rowOff>
    </xdr:to>
    <xdr:sp macro="" textlink="">
      <xdr:nvSpPr>
        <xdr:cNvPr id="21" name="Retângulo: Cantos Arredondados 20">
          <a:hlinkClick xmlns:r="http://schemas.openxmlformats.org/officeDocument/2006/relationships" r:id="rId1" tooltip="TITULAR"/>
          <a:extLst>
            <a:ext uri="{FF2B5EF4-FFF2-40B4-BE49-F238E27FC236}">
              <a16:creationId xmlns:a16="http://schemas.microsoft.com/office/drawing/2014/main" id="{009E2C8A-70E1-36AD-7F97-FE23D5470628}"/>
            </a:ext>
          </a:extLst>
        </xdr:cNvPr>
        <xdr:cNvSpPr/>
      </xdr:nvSpPr>
      <xdr:spPr>
        <a:xfrm>
          <a:off x="142876" y="2154349"/>
          <a:ext cx="2238375" cy="399600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12506C">
                <a:lumMod val="100000"/>
              </a:srgbClr>
            </a:gs>
            <a:gs pos="95000">
              <a:srgbClr val="0B3041">
                <a:alpha val="63000"/>
                <a:lumMod val="80000"/>
                <a:lumOff val="20000"/>
              </a:srgbClr>
            </a:gs>
          </a:gsLst>
          <a:lin ang="10800000" scaled="1"/>
          <a:tileRect/>
        </a:gradFill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142876</xdr:colOff>
      <xdr:row>16</xdr:row>
      <xdr:rowOff>173149</xdr:rowOff>
    </xdr:from>
    <xdr:to>
      <xdr:col>0</xdr:col>
      <xdr:colOff>2381251</xdr:colOff>
      <xdr:row>18</xdr:row>
      <xdr:rowOff>153649</xdr:rowOff>
    </xdr:to>
    <xdr:sp macro="" textlink="">
      <xdr:nvSpPr>
        <xdr:cNvPr id="22" name="Retângulo: Cantos Arredondados 21">
          <a:hlinkClick xmlns:r="http://schemas.openxmlformats.org/officeDocument/2006/relationships" r:id="rId2" tooltip="NOTAS"/>
          <a:extLst>
            <a:ext uri="{FF2B5EF4-FFF2-40B4-BE49-F238E27FC236}">
              <a16:creationId xmlns:a16="http://schemas.microsoft.com/office/drawing/2014/main" id="{5603FFC6-B4F8-551F-C5AD-C123A6CEF507}"/>
            </a:ext>
          </a:extLst>
        </xdr:cNvPr>
        <xdr:cNvSpPr/>
      </xdr:nvSpPr>
      <xdr:spPr>
        <a:xfrm>
          <a:off x="142876" y="3535474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142876</xdr:colOff>
      <xdr:row>13</xdr:row>
      <xdr:rowOff>111236</xdr:rowOff>
    </xdr:from>
    <xdr:to>
      <xdr:col>0</xdr:col>
      <xdr:colOff>2381251</xdr:colOff>
      <xdr:row>15</xdr:row>
      <xdr:rowOff>91736</xdr:rowOff>
    </xdr:to>
    <xdr:sp macro="" textlink="">
      <xdr:nvSpPr>
        <xdr:cNvPr id="23" name="Retângulo: Cantos Arredondados 22">
          <a:hlinkClick xmlns:r="http://schemas.openxmlformats.org/officeDocument/2006/relationships" r:id="rId3" tooltip="INFORMES"/>
          <a:extLst>
            <a:ext uri="{FF2B5EF4-FFF2-40B4-BE49-F238E27FC236}">
              <a16:creationId xmlns:a16="http://schemas.microsoft.com/office/drawing/2014/main" id="{400A02B9-CCCF-A0C0-4146-B6720F1561FF}"/>
            </a:ext>
          </a:extLst>
        </xdr:cNvPr>
        <xdr:cNvSpPr/>
      </xdr:nvSpPr>
      <xdr:spPr>
        <a:xfrm>
          <a:off x="142876" y="2844911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200026</xdr:colOff>
      <xdr:row>21</xdr:row>
      <xdr:rowOff>0</xdr:rowOff>
    </xdr:from>
    <xdr:to>
      <xdr:col>0</xdr:col>
      <xdr:colOff>2324101</xdr:colOff>
      <xdr:row>21</xdr:row>
      <xdr:rowOff>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6D09A3F6-564A-2997-7979-AEFDDE6CF09D}"/>
            </a:ext>
          </a:extLst>
        </xdr:cNvPr>
        <xdr:cNvCxnSpPr/>
      </xdr:nvCxnSpPr>
      <xdr:spPr>
        <a:xfrm>
          <a:off x="200026" y="4400550"/>
          <a:ext cx="2124075" cy="0"/>
        </a:xfrm>
        <a:prstGeom prst="line">
          <a:avLst/>
        </a:prstGeom>
        <a:ln w="952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1090613</xdr:colOff>
      <xdr:row>22</xdr:row>
      <xdr:rowOff>133350</xdr:rowOff>
    </xdr:from>
    <xdr:to>
      <xdr:col>0</xdr:col>
      <xdr:colOff>1433513</xdr:colOff>
      <xdr:row>24</xdr:row>
      <xdr:rowOff>76200</xdr:rowOff>
    </xdr:to>
    <xdr:pic>
      <xdr:nvPicPr>
        <xdr:cNvPr id="5" name="LinkedIn" descr="Ícones brancos de Linkedin – Baixe gratuitamente em SVG, PNG, GIF">
          <a:hlinkClick xmlns:r="http://schemas.openxmlformats.org/officeDocument/2006/relationships" r:id="rId4" tooltip="LinkedIn"/>
          <a:extLst>
            <a:ext uri="{FF2B5EF4-FFF2-40B4-BE49-F238E27FC236}">
              <a16:creationId xmlns:a16="http://schemas.microsoft.com/office/drawing/2014/main" id="{00FB7681-0A72-0090-9E32-74F569AEC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613" y="4733925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1362075</xdr:colOff>
      <xdr:row>25</xdr:row>
      <xdr:rowOff>0</xdr:rowOff>
    </xdr:from>
    <xdr:to>
      <xdr:col>3</xdr:col>
      <xdr:colOff>2952750</xdr:colOff>
      <xdr:row>27</xdr:row>
      <xdr:rowOff>180975</xdr:rowOff>
    </xdr:to>
    <xdr:grpSp>
      <xdr:nvGrpSpPr>
        <xdr:cNvPr id="16" name="Agrupar 15">
          <a:hlinkClick xmlns:r="http://schemas.openxmlformats.org/officeDocument/2006/relationships" r:id="rId6" tooltip="PRÓXIMA PÁGINA"/>
          <a:extLst>
            <a:ext uri="{FF2B5EF4-FFF2-40B4-BE49-F238E27FC236}">
              <a16:creationId xmlns:a16="http://schemas.microsoft.com/office/drawing/2014/main" id="{F4B11949-C026-4DC0-8E39-9A5C564B668D}"/>
            </a:ext>
          </a:extLst>
        </xdr:cNvPr>
        <xdr:cNvGrpSpPr/>
      </xdr:nvGrpSpPr>
      <xdr:grpSpPr>
        <a:xfrm>
          <a:off x="7572375" y="5200650"/>
          <a:ext cx="1590675" cy="581025"/>
          <a:chOff x="7581900" y="4238625"/>
          <a:chExt cx="1590675" cy="581025"/>
        </a:xfrm>
      </xdr:grpSpPr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ECCA9DEE-A930-B16D-1EDA-B069D0CE210F}"/>
              </a:ext>
            </a:extLst>
          </xdr:cNvPr>
          <xdr:cNvSpPr/>
        </xdr:nvSpPr>
        <xdr:spPr>
          <a:xfrm>
            <a:off x="7581900" y="4238625"/>
            <a:ext cx="1590675" cy="581025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 b="1">
                <a:latin typeface="Aptos Narrow" panose="020B0004020202020204" pitchFamily="34" charset="0"/>
              </a:rPr>
              <a:t>Próximo</a:t>
            </a:r>
            <a:endParaRPr lang="pt-BR" sz="1100" b="1">
              <a:latin typeface="Aptos Narrow" panose="020B0004020202020204" pitchFamily="34" charset="0"/>
            </a:endParaRPr>
          </a:p>
        </xdr:txBody>
      </xdr:sp>
      <xdr:pic>
        <xdr:nvPicPr>
          <xdr:cNvPr id="19" name="Gráfico 18" descr="Círculo com seta para a esquerda com preenchimento sólido">
            <a:extLst>
              <a:ext uri="{FF2B5EF4-FFF2-40B4-BE49-F238E27FC236}">
                <a16:creationId xmlns:a16="http://schemas.microsoft.com/office/drawing/2014/main" id="{B27EEDAB-AD1D-2D93-505B-AE811EAE2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7591425" y="4238625"/>
            <a:ext cx="569100" cy="5691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812063</xdr:colOff>
      <xdr:row>2</xdr:row>
      <xdr:rowOff>228598</xdr:rowOff>
    </xdr:from>
    <xdr:to>
      <xdr:col>0</xdr:col>
      <xdr:colOff>1712063</xdr:colOff>
      <xdr:row>7</xdr:row>
      <xdr:rowOff>52273</xdr:rowOff>
    </xdr:to>
    <xdr:sp macro="" textlink="">
      <xdr:nvSpPr>
        <xdr:cNvPr id="2" name="Gráfico 2" descr="Folha com preenchimento sólido">
          <a:extLst>
            <a:ext uri="{FF2B5EF4-FFF2-40B4-BE49-F238E27FC236}">
              <a16:creationId xmlns:a16="http://schemas.microsoft.com/office/drawing/2014/main" id="{A1CCB613-B74D-4DEE-AC6A-DFBDCD052BF4}"/>
            </a:ext>
          </a:extLst>
        </xdr:cNvPr>
        <xdr:cNvSpPr/>
      </xdr:nvSpPr>
      <xdr:spPr>
        <a:xfrm>
          <a:off x="812063" y="628648"/>
          <a:ext cx="900000" cy="900000"/>
        </a:xfrm>
        <a:custGeom>
          <a:avLst/>
          <a:gdLst>
            <a:gd name="connsiteX0" fmla="*/ 314325 w 676275"/>
            <a:gd name="connsiteY0" fmla="*/ 57150 h 648652"/>
            <a:gd name="connsiteX1" fmla="*/ 47625 w 676275"/>
            <a:gd name="connsiteY1" fmla="*/ 323850 h 648652"/>
            <a:gd name="connsiteX2" fmla="*/ 80963 w 676275"/>
            <a:gd name="connsiteY2" fmla="*/ 452438 h 648652"/>
            <a:gd name="connsiteX3" fmla="*/ 146685 w 676275"/>
            <a:gd name="connsiteY3" fmla="*/ 387668 h 648652"/>
            <a:gd name="connsiteX4" fmla="*/ 336233 w 676275"/>
            <a:gd name="connsiteY4" fmla="*/ 232410 h 648652"/>
            <a:gd name="connsiteX5" fmla="*/ 348615 w 676275"/>
            <a:gd name="connsiteY5" fmla="*/ 227648 h 648652"/>
            <a:gd name="connsiteX6" fmla="*/ 367665 w 676275"/>
            <a:gd name="connsiteY6" fmla="*/ 246698 h 648652"/>
            <a:gd name="connsiteX7" fmla="*/ 360045 w 676275"/>
            <a:gd name="connsiteY7" fmla="*/ 261938 h 648652"/>
            <a:gd name="connsiteX8" fmla="*/ 360045 w 676275"/>
            <a:gd name="connsiteY8" fmla="*/ 261938 h 648652"/>
            <a:gd name="connsiteX9" fmla="*/ 86678 w 676275"/>
            <a:gd name="connsiteY9" fmla="*/ 502920 h 648652"/>
            <a:gd name="connsiteX10" fmla="*/ 71438 w 676275"/>
            <a:gd name="connsiteY10" fmla="*/ 520065 h 648652"/>
            <a:gd name="connsiteX11" fmla="*/ 71438 w 676275"/>
            <a:gd name="connsiteY11" fmla="*/ 520065 h 648652"/>
            <a:gd name="connsiteX12" fmla="*/ 0 w 676275"/>
            <a:gd name="connsiteY12" fmla="*/ 648653 h 648652"/>
            <a:gd name="connsiteX13" fmla="*/ 57150 w 676275"/>
            <a:gd name="connsiteY13" fmla="*/ 648653 h 648652"/>
            <a:gd name="connsiteX14" fmla="*/ 140970 w 676275"/>
            <a:gd name="connsiteY14" fmla="*/ 527685 h 648652"/>
            <a:gd name="connsiteX15" fmla="*/ 314325 w 676275"/>
            <a:gd name="connsiteY15" fmla="*/ 591503 h 648652"/>
            <a:gd name="connsiteX16" fmla="*/ 446723 w 676275"/>
            <a:gd name="connsiteY16" fmla="*/ 556260 h 648652"/>
            <a:gd name="connsiteX17" fmla="*/ 446723 w 676275"/>
            <a:gd name="connsiteY17" fmla="*/ 556260 h 648652"/>
            <a:gd name="connsiteX18" fmla="*/ 676275 w 676275"/>
            <a:gd name="connsiteY18" fmla="*/ 0 h 648652"/>
            <a:gd name="connsiteX19" fmla="*/ 314325 w 676275"/>
            <a:gd name="connsiteY19" fmla="*/ 57150 h 6486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676275" h="648652">
              <a:moveTo>
                <a:pt x="314325" y="57150"/>
              </a:moveTo>
              <a:cubicBezTo>
                <a:pt x="166688" y="57150"/>
                <a:pt x="47625" y="176213"/>
                <a:pt x="47625" y="323850"/>
              </a:cubicBezTo>
              <a:cubicBezTo>
                <a:pt x="47625" y="370523"/>
                <a:pt x="60007" y="414338"/>
                <a:pt x="80963" y="452438"/>
              </a:cubicBezTo>
              <a:cubicBezTo>
                <a:pt x="100965" y="431483"/>
                <a:pt x="122873" y="410528"/>
                <a:pt x="146685" y="387668"/>
              </a:cubicBezTo>
              <a:cubicBezTo>
                <a:pt x="206693" y="331470"/>
                <a:pt x="277178" y="274320"/>
                <a:pt x="336233" y="232410"/>
              </a:cubicBezTo>
              <a:cubicBezTo>
                <a:pt x="340043" y="229552"/>
                <a:pt x="343853" y="227648"/>
                <a:pt x="348615" y="227648"/>
              </a:cubicBezTo>
              <a:cubicBezTo>
                <a:pt x="359093" y="227648"/>
                <a:pt x="367665" y="236220"/>
                <a:pt x="367665" y="246698"/>
              </a:cubicBezTo>
              <a:cubicBezTo>
                <a:pt x="367665" y="253365"/>
                <a:pt x="364808" y="258127"/>
                <a:pt x="360045" y="261938"/>
              </a:cubicBezTo>
              <a:lnTo>
                <a:pt x="360045" y="261938"/>
              </a:lnTo>
              <a:cubicBezTo>
                <a:pt x="275273" y="322898"/>
                <a:pt x="162878" y="417195"/>
                <a:pt x="86678" y="502920"/>
              </a:cubicBezTo>
              <a:cubicBezTo>
                <a:pt x="86678" y="502920"/>
                <a:pt x="76200" y="514350"/>
                <a:pt x="71438" y="520065"/>
              </a:cubicBezTo>
              <a:lnTo>
                <a:pt x="71438" y="520065"/>
              </a:lnTo>
              <a:cubicBezTo>
                <a:pt x="28575" y="570548"/>
                <a:pt x="0" y="616268"/>
                <a:pt x="0" y="648653"/>
              </a:cubicBezTo>
              <a:lnTo>
                <a:pt x="57150" y="648653"/>
              </a:lnTo>
              <a:cubicBezTo>
                <a:pt x="57150" y="627698"/>
                <a:pt x="90488" y="581978"/>
                <a:pt x="140970" y="527685"/>
              </a:cubicBezTo>
              <a:cubicBezTo>
                <a:pt x="187643" y="567690"/>
                <a:pt x="247650" y="591503"/>
                <a:pt x="314325" y="591503"/>
              </a:cubicBezTo>
              <a:cubicBezTo>
                <a:pt x="361950" y="591503"/>
                <a:pt x="407670" y="579120"/>
                <a:pt x="446723" y="556260"/>
              </a:cubicBezTo>
              <a:lnTo>
                <a:pt x="446723" y="556260"/>
              </a:lnTo>
              <a:cubicBezTo>
                <a:pt x="650558" y="442913"/>
                <a:pt x="676275" y="234315"/>
                <a:pt x="676275" y="0"/>
              </a:cubicBezTo>
              <a:cubicBezTo>
                <a:pt x="676275" y="0"/>
                <a:pt x="454343" y="60960"/>
                <a:pt x="314325" y="57150"/>
              </a:cubicBezTo>
              <a:close/>
            </a:path>
          </a:pathLst>
        </a:custGeom>
        <a:solidFill>
          <a:srgbClr val="0B304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pt-BR"/>
        </a:p>
      </xdr:txBody>
    </xdr:sp>
    <xdr:clientData/>
  </xdr:twoCellAnchor>
  <xdr:twoCellAnchor editAs="absolute">
    <xdr:from>
      <xdr:col>0</xdr:col>
      <xdr:colOff>1</xdr:colOff>
      <xdr:row>0</xdr:row>
      <xdr:rowOff>114300</xdr:rowOff>
    </xdr:from>
    <xdr:to>
      <xdr:col>1</xdr:col>
      <xdr:colOff>0</xdr:colOff>
      <xdr:row>2</xdr:row>
      <xdr:rowOff>168220</xdr:rowOff>
    </xdr:to>
    <xdr:sp macro="" textlink="">
      <xdr:nvSpPr>
        <xdr:cNvPr id="3" name="Retângulo 3">
          <a:extLst>
            <a:ext uri="{FF2B5EF4-FFF2-40B4-BE49-F238E27FC236}">
              <a16:creationId xmlns:a16="http://schemas.microsoft.com/office/drawing/2014/main" id="{EC223461-1CE3-48B4-8321-FEA50977F199}"/>
            </a:ext>
          </a:extLst>
        </xdr:cNvPr>
        <xdr:cNvSpPr/>
      </xdr:nvSpPr>
      <xdr:spPr>
        <a:xfrm>
          <a:off x="1" y="114300"/>
          <a:ext cx="2524124" cy="4539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 w="0"/>
              <a:gradFill flip="none" rotWithShape="1">
                <a:gsLst>
                  <a:gs pos="0">
                    <a:schemeClr val="bg2"/>
                  </a:gs>
                  <a:gs pos="42000">
                    <a:srgbClr val="12506C">
                      <a:lumMod val="98000"/>
                      <a:lumOff val="2000"/>
                    </a:srgbClr>
                  </a:gs>
                  <a:gs pos="100000">
                    <a:srgbClr val="0B3041"/>
                  </a:gs>
                </a:gsLst>
                <a:lin ang="0" scaled="1"/>
                <a:tileRect/>
              </a:gra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Arial Black" panose="020B0A04020102020204" pitchFamily="34" charset="0"/>
            </a:rPr>
            <a:t>FOLHA APP</a:t>
          </a:r>
        </a:p>
      </xdr:txBody>
    </xdr:sp>
    <xdr:clientData/>
  </xdr:twoCellAnchor>
  <xdr:twoCellAnchor editAs="absolute">
    <xdr:from>
      <xdr:col>0</xdr:col>
      <xdr:colOff>142876</xdr:colOff>
      <xdr:row>10</xdr:row>
      <xdr:rowOff>49324</xdr:rowOff>
    </xdr:from>
    <xdr:to>
      <xdr:col>0</xdr:col>
      <xdr:colOff>2381251</xdr:colOff>
      <xdr:row>12</xdr:row>
      <xdr:rowOff>29824</xdr:rowOff>
    </xdr:to>
    <xdr:sp macro="" textlink="">
      <xdr:nvSpPr>
        <xdr:cNvPr id="4" name="Retângulo: Cantos Arredondados 3">
          <a:hlinkClick xmlns:r="http://schemas.openxmlformats.org/officeDocument/2006/relationships" r:id="rId1" tooltip="TITULAR"/>
          <a:extLst>
            <a:ext uri="{FF2B5EF4-FFF2-40B4-BE49-F238E27FC236}">
              <a16:creationId xmlns:a16="http://schemas.microsoft.com/office/drawing/2014/main" id="{AE8F3075-A1E1-47A4-A543-491F1930ACCB}"/>
            </a:ext>
          </a:extLst>
        </xdr:cNvPr>
        <xdr:cNvSpPr/>
      </xdr:nvSpPr>
      <xdr:spPr>
        <a:xfrm>
          <a:off x="142876" y="2154349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142876</xdr:colOff>
      <xdr:row>16</xdr:row>
      <xdr:rowOff>173149</xdr:rowOff>
    </xdr:from>
    <xdr:to>
      <xdr:col>0</xdr:col>
      <xdr:colOff>2381251</xdr:colOff>
      <xdr:row>18</xdr:row>
      <xdr:rowOff>153649</xdr:rowOff>
    </xdr:to>
    <xdr:sp macro="" textlink="">
      <xdr:nvSpPr>
        <xdr:cNvPr id="5" name="Retângulo: Cantos Arredondados 4">
          <a:hlinkClick xmlns:r="http://schemas.openxmlformats.org/officeDocument/2006/relationships" r:id="rId2" tooltip="NOTAS"/>
          <a:extLst>
            <a:ext uri="{FF2B5EF4-FFF2-40B4-BE49-F238E27FC236}">
              <a16:creationId xmlns:a16="http://schemas.microsoft.com/office/drawing/2014/main" id="{D3B7F7A4-4A95-49CE-86D7-F63396435AC1}"/>
            </a:ext>
          </a:extLst>
        </xdr:cNvPr>
        <xdr:cNvSpPr/>
      </xdr:nvSpPr>
      <xdr:spPr>
        <a:xfrm>
          <a:off x="142876" y="3535474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142876</xdr:colOff>
      <xdr:row>13</xdr:row>
      <xdr:rowOff>111236</xdr:rowOff>
    </xdr:from>
    <xdr:to>
      <xdr:col>0</xdr:col>
      <xdr:colOff>2381251</xdr:colOff>
      <xdr:row>15</xdr:row>
      <xdr:rowOff>91736</xdr:rowOff>
    </xdr:to>
    <xdr:sp macro="" textlink="">
      <xdr:nvSpPr>
        <xdr:cNvPr id="6" name="Retângulo: Cantos Arredondados 5">
          <a:hlinkClick xmlns:r="http://schemas.openxmlformats.org/officeDocument/2006/relationships" r:id="rId3" tooltip="INFORMES"/>
          <a:extLst>
            <a:ext uri="{FF2B5EF4-FFF2-40B4-BE49-F238E27FC236}">
              <a16:creationId xmlns:a16="http://schemas.microsoft.com/office/drawing/2014/main" id="{B20B61F3-3F86-44A2-9FD7-39FC3F666124}"/>
            </a:ext>
          </a:extLst>
        </xdr:cNvPr>
        <xdr:cNvSpPr/>
      </xdr:nvSpPr>
      <xdr:spPr>
        <a:xfrm>
          <a:off x="142876" y="2844911"/>
          <a:ext cx="2238375" cy="399600"/>
        </a:xfrm>
        <a:prstGeom prst="roundRect">
          <a:avLst>
            <a:gd name="adj" fmla="val 50000"/>
          </a:avLst>
        </a:prstGeom>
        <a:gradFill>
          <a:gsLst>
            <a:gs pos="17000">
              <a:srgbClr val="12506C">
                <a:lumMod val="100000"/>
              </a:srgbClr>
            </a:gs>
            <a:gs pos="95000">
              <a:srgbClr val="0B3041">
                <a:alpha val="63000"/>
                <a:lumMod val="80000"/>
                <a:lumOff val="20000"/>
              </a:srgbClr>
            </a:gs>
          </a:gsLst>
          <a:lin ang="10800000" scaled="1"/>
        </a:gradFill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1090613</xdr:colOff>
      <xdr:row>22</xdr:row>
      <xdr:rowOff>133350</xdr:rowOff>
    </xdr:from>
    <xdr:to>
      <xdr:col>0</xdr:col>
      <xdr:colOff>1433513</xdr:colOff>
      <xdr:row>24</xdr:row>
      <xdr:rowOff>76200</xdr:rowOff>
    </xdr:to>
    <xdr:pic>
      <xdr:nvPicPr>
        <xdr:cNvPr id="8" name="LinkedIn" descr="Ícones brancos de Linkedin – Baixe gratuitamente em SVG, PNG, GIF">
          <a:hlinkClick xmlns:r="http://schemas.openxmlformats.org/officeDocument/2006/relationships" r:id="rId4" tooltip="LinkedIn"/>
          <a:extLst>
            <a:ext uri="{FF2B5EF4-FFF2-40B4-BE49-F238E27FC236}">
              <a16:creationId xmlns:a16="http://schemas.microsoft.com/office/drawing/2014/main" id="{6B359CCA-75D8-4446-ADC2-CA8A1DB51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613" y="4733925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2657475</xdr:colOff>
      <xdr:row>25</xdr:row>
      <xdr:rowOff>0</xdr:rowOff>
    </xdr:from>
    <xdr:to>
      <xdr:col>3</xdr:col>
      <xdr:colOff>1247775</xdr:colOff>
      <xdr:row>27</xdr:row>
      <xdr:rowOff>180975</xdr:rowOff>
    </xdr:to>
    <xdr:grpSp>
      <xdr:nvGrpSpPr>
        <xdr:cNvPr id="9" name="Agrupar 8">
          <a:hlinkClick xmlns:r="http://schemas.openxmlformats.org/officeDocument/2006/relationships" r:id="rId6" tooltip="VOLTAR À PÁGINA TITULAR"/>
          <a:extLst>
            <a:ext uri="{FF2B5EF4-FFF2-40B4-BE49-F238E27FC236}">
              <a16:creationId xmlns:a16="http://schemas.microsoft.com/office/drawing/2014/main" id="{B2219B34-71F1-4270-9990-FE80650BA620}"/>
            </a:ext>
          </a:extLst>
        </xdr:cNvPr>
        <xdr:cNvGrpSpPr/>
      </xdr:nvGrpSpPr>
      <xdr:grpSpPr>
        <a:xfrm>
          <a:off x="5867400" y="5200650"/>
          <a:ext cx="1590675" cy="581025"/>
          <a:chOff x="7581900" y="4238625"/>
          <a:chExt cx="1590675" cy="581025"/>
        </a:xfrm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A988561-D1B2-9251-4733-5687E3824E08}"/>
              </a:ext>
            </a:extLst>
          </xdr:cNvPr>
          <xdr:cNvSpPr/>
        </xdr:nvSpPr>
        <xdr:spPr>
          <a:xfrm>
            <a:off x="7581900" y="4238625"/>
            <a:ext cx="1590675" cy="581025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 b="1">
                <a:latin typeface="Aptos Narrow" panose="020B0004020202020204" pitchFamily="34" charset="0"/>
              </a:rPr>
              <a:t>Anterior</a:t>
            </a:r>
            <a:endParaRPr lang="pt-BR" sz="1100" b="1">
              <a:latin typeface="Aptos Narrow" panose="020B0004020202020204" pitchFamily="34" charset="0"/>
            </a:endParaRPr>
          </a:p>
        </xdr:txBody>
      </xdr:sp>
      <xdr:pic>
        <xdr:nvPicPr>
          <xdr:cNvPr id="11" name="Gráfico 10" descr="Círculo com seta para a esquerda com preenchimento sólido">
            <a:extLst>
              <a:ext uri="{FF2B5EF4-FFF2-40B4-BE49-F238E27FC236}">
                <a16:creationId xmlns:a16="http://schemas.microsoft.com/office/drawing/2014/main" id="{1D062C4D-3B7F-2626-825E-5E4219C8F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591425" y="4238625"/>
            <a:ext cx="569100" cy="5691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190500</xdr:colOff>
      <xdr:row>21</xdr:row>
      <xdr:rowOff>0</xdr:rowOff>
    </xdr:from>
    <xdr:to>
      <xdr:col>0</xdr:col>
      <xdr:colOff>2314575</xdr:colOff>
      <xdr:row>21</xdr:row>
      <xdr:rowOff>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2079F9BF-253C-423F-8740-7D10CEA24D12}"/>
            </a:ext>
          </a:extLst>
        </xdr:cNvPr>
        <xdr:cNvCxnSpPr/>
      </xdr:nvCxnSpPr>
      <xdr:spPr>
        <a:xfrm>
          <a:off x="190500" y="4400550"/>
          <a:ext cx="2124075" cy="0"/>
        </a:xfrm>
        <a:prstGeom prst="line">
          <a:avLst/>
        </a:prstGeom>
        <a:ln w="952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1362075</xdr:colOff>
      <xdr:row>25</xdr:row>
      <xdr:rowOff>0</xdr:rowOff>
    </xdr:from>
    <xdr:to>
      <xdr:col>3</xdr:col>
      <xdr:colOff>2952750</xdr:colOff>
      <xdr:row>27</xdr:row>
      <xdr:rowOff>180975</xdr:rowOff>
    </xdr:to>
    <xdr:grpSp>
      <xdr:nvGrpSpPr>
        <xdr:cNvPr id="14" name="Agrupar 13">
          <a:hlinkClick xmlns:r="http://schemas.openxmlformats.org/officeDocument/2006/relationships" r:id="rId9" tooltip="Próxima Página"/>
          <a:extLst>
            <a:ext uri="{FF2B5EF4-FFF2-40B4-BE49-F238E27FC236}">
              <a16:creationId xmlns:a16="http://schemas.microsoft.com/office/drawing/2014/main" id="{110564B0-2556-4E42-BB6E-6BF441FB92B2}"/>
            </a:ext>
          </a:extLst>
        </xdr:cNvPr>
        <xdr:cNvGrpSpPr/>
      </xdr:nvGrpSpPr>
      <xdr:grpSpPr>
        <a:xfrm>
          <a:off x="7572375" y="5200650"/>
          <a:ext cx="1590675" cy="581025"/>
          <a:chOff x="7581900" y="4238625"/>
          <a:chExt cx="1590675" cy="581025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914F2106-7E0F-C357-6380-5F37E6200067}"/>
              </a:ext>
            </a:extLst>
          </xdr:cNvPr>
          <xdr:cNvSpPr/>
        </xdr:nvSpPr>
        <xdr:spPr>
          <a:xfrm>
            <a:off x="7581900" y="4238625"/>
            <a:ext cx="1590675" cy="581025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 b="1">
                <a:latin typeface="Aptos Narrow" panose="020B0004020202020204" pitchFamily="34" charset="0"/>
              </a:rPr>
              <a:t>Próximo</a:t>
            </a:r>
            <a:endParaRPr lang="pt-BR" sz="1100" b="1">
              <a:latin typeface="Aptos Narrow" panose="020B0004020202020204" pitchFamily="34" charset="0"/>
            </a:endParaRPr>
          </a:p>
        </xdr:txBody>
      </xdr:sp>
      <xdr:pic>
        <xdr:nvPicPr>
          <xdr:cNvPr id="16" name="Gráfico 15" descr="Círculo com seta para a esquerda com preenchimento sólido">
            <a:extLst>
              <a:ext uri="{FF2B5EF4-FFF2-40B4-BE49-F238E27FC236}">
                <a16:creationId xmlns:a16="http://schemas.microsoft.com/office/drawing/2014/main" id="{9C2068E8-0263-B285-0ADE-7CA46EFF6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7591425" y="4238625"/>
            <a:ext cx="569100" cy="5691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812063</xdr:colOff>
      <xdr:row>2</xdr:row>
      <xdr:rowOff>228598</xdr:rowOff>
    </xdr:from>
    <xdr:to>
      <xdr:col>0</xdr:col>
      <xdr:colOff>1712063</xdr:colOff>
      <xdr:row>7</xdr:row>
      <xdr:rowOff>52273</xdr:rowOff>
    </xdr:to>
    <xdr:sp macro="" textlink="">
      <xdr:nvSpPr>
        <xdr:cNvPr id="2" name="Gráfico 2" descr="Folha com preenchimento sólido">
          <a:extLst>
            <a:ext uri="{FF2B5EF4-FFF2-40B4-BE49-F238E27FC236}">
              <a16:creationId xmlns:a16="http://schemas.microsoft.com/office/drawing/2014/main" id="{3BF9BB60-2360-4BF9-AF63-AE811F31DA2E}"/>
            </a:ext>
          </a:extLst>
        </xdr:cNvPr>
        <xdr:cNvSpPr/>
      </xdr:nvSpPr>
      <xdr:spPr>
        <a:xfrm>
          <a:off x="812063" y="628648"/>
          <a:ext cx="900000" cy="900000"/>
        </a:xfrm>
        <a:custGeom>
          <a:avLst/>
          <a:gdLst>
            <a:gd name="connsiteX0" fmla="*/ 314325 w 676275"/>
            <a:gd name="connsiteY0" fmla="*/ 57150 h 648652"/>
            <a:gd name="connsiteX1" fmla="*/ 47625 w 676275"/>
            <a:gd name="connsiteY1" fmla="*/ 323850 h 648652"/>
            <a:gd name="connsiteX2" fmla="*/ 80963 w 676275"/>
            <a:gd name="connsiteY2" fmla="*/ 452438 h 648652"/>
            <a:gd name="connsiteX3" fmla="*/ 146685 w 676275"/>
            <a:gd name="connsiteY3" fmla="*/ 387668 h 648652"/>
            <a:gd name="connsiteX4" fmla="*/ 336233 w 676275"/>
            <a:gd name="connsiteY4" fmla="*/ 232410 h 648652"/>
            <a:gd name="connsiteX5" fmla="*/ 348615 w 676275"/>
            <a:gd name="connsiteY5" fmla="*/ 227648 h 648652"/>
            <a:gd name="connsiteX6" fmla="*/ 367665 w 676275"/>
            <a:gd name="connsiteY6" fmla="*/ 246698 h 648652"/>
            <a:gd name="connsiteX7" fmla="*/ 360045 w 676275"/>
            <a:gd name="connsiteY7" fmla="*/ 261938 h 648652"/>
            <a:gd name="connsiteX8" fmla="*/ 360045 w 676275"/>
            <a:gd name="connsiteY8" fmla="*/ 261938 h 648652"/>
            <a:gd name="connsiteX9" fmla="*/ 86678 w 676275"/>
            <a:gd name="connsiteY9" fmla="*/ 502920 h 648652"/>
            <a:gd name="connsiteX10" fmla="*/ 71438 w 676275"/>
            <a:gd name="connsiteY10" fmla="*/ 520065 h 648652"/>
            <a:gd name="connsiteX11" fmla="*/ 71438 w 676275"/>
            <a:gd name="connsiteY11" fmla="*/ 520065 h 648652"/>
            <a:gd name="connsiteX12" fmla="*/ 0 w 676275"/>
            <a:gd name="connsiteY12" fmla="*/ 648653 h 648652"/>
            <a:gd name="connsiteX13" fmla="*/ 57150 w 676275"/>
            <a:gd name="connsiteY13" fmla="*/ 648653 h 648652"/>
            <a:gd name="connsiteX14" fmla="*/ 140970 w 676275"/>
            <a:gd name="connsiteY14" fmla="*/ 527685 h 648652"/>
            <a:gd name="connsiteX15" fmla="*/ 314325 w 676275"/>
            <a:gd name="connsiteY15" fmla="*/ 591503 h 648652"/>
            <a:gd name="connsiteX16" fmla="*/ 446723 w 676275"/>
            <a:gd name="connsiteY16" fmla="*/ 556260 h 648652"/>
            <a:gd name="connsiteX17" fmla="*/ 446723 w 676275"/>
            <a:gd name="connsiteY17" fmla="*/ 556260 h 648652"/>
            <a:gd name="connsiteX18" fmla="*/ 676275 w 676275"/>
            <a:gd name="connsiteY18" fmla="*/ 0 h 648652"/>
            <a:gd name="connsiteX19" fmla="*/ 314325 w 676275"/>
            <a:gd name="connsiteY19" fmla="*/ 57150 h 6486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676275" h="648652">
              <a:moveTo>
                <a:pt x="314325" y="57150"/>
              </a:moveTo>
              <a:cubicBezTo>
                <a:pt x="166688" y="57150"/>
                <a:pt x="47625" y="176213"/>
                <a:pt x="47625" y="323850"/>
              </a:cubicBezTo>
              <a:cubicBezTo>
                <a:pt x="47625" y="370523"/>
                <a:pt x="60007" y="414338"/>
                <a:pt x="80963" y="452438"/>
              </a:cubicBezTo>
              <a:cubicBezTo>
                <a:pt x="100965" y="431483"/>
                <a:pt x="122873" y="410528"/>
                <a:pt x="146685" y="387668"/>
              </a:cubicBezTo>
              <a:cubicBezTo>
                <a:pt x="206693" y="331470"/>
                <a:pt x="277178" y="274320"/>
                <a:pt x="336233" y="232410"/>
              </a:cubicBezTo>
              <a:cubicBezTo>
                <a:pt x="340043" y="229552"/>
                <a:pt x="343853" y="227648"/>
                <a:pt x="348615" y="227648"/>
              </a:cubicBezTo>
              <a:cubicBezTo>
                <a:pt x="359093" y="227648"/>
                <a:pt x="367665" y="236220"/>
                <a:pt x="367665" y="246698"/>
              </a:cubicBezTo>
              <a:cubicBezTo>
                <a:pt x="367665" y="253365"/>
                <a:pt x="364808" y="258127"/>
                <a:pt x="360045" y="261938"/>
              </a:cubicBezTo>
              <a:lnTo>
                <a:pt x="360045" y="261938"/>
              </a:lnTo>
              <a:cubicBezTo>
                <a:pt x="275273" y="322898"/>
                <a:pt x="162878" y="417195"/>
                <a:pt x="86678" y="502920"/>
              </a:cubicBezTo>
              <a:cubicBezTo>
                <a:pt x="86678" y="502920"/>
                <a:pt x="76200" y="514350"/>
                <a:pt x="71438" y="520065"/>
              </a:cubicBezTo>
              <a:lnTo>
                <a:pt x="71438" y="520065"/>
              </a:lnTo>
              <a:cubicBezTo>
                <a:pt x="28575" y="570548"/>
                <a:pt x="0" y="616268"/>
                <a:pt x="0" y="648653"/>
              </a:cubicBezTo>
              <a:lnTo>
                <a:pt x="57150" y="648653"/>
              </a:lnTo>
              <a:cubicBezTo>
                <a:pt x="57150" y="627698"/>
                <a:pt x="90488" y="581978"/>
                <a:pt x="140970" y="527685"/>
              </a:cubicBezTo>
              <a:cubicBezTo>
                <a:pt x="187643" y="567690"/>
                <a:pt x="247650" y="591503"/>
                <a:pt x="314325" y="591503"/>
              </a:cubicBezTo>
              <a:cubicBezTo>
                <a:pt x="361950" y="591503"/>
                <a:pt x="407670" y="579120"/>
                <a:pt x="446723" y="556260"/>
              </a:cubicBezTo>
              <a:lnTo>
                <a:pt x="446723" y="556260"/>
              </a:lnTo>
              <a:cubicBezTo>
                <a:pt x="650558" y="442913"/>
                <a:pt x="676275" y="234315"/>
                <a:pt x="676275" y="0"/>
              </a:cubicBezTo>
              <a:cubicBezTo>
                <a:pt x="676275" y="0"/>
                <a:pt x="454343" y="60960"/>
                <a:pt x="314325" y="57150"/>
              </a:cubicBezTo>
              <a:close/>
            </a:path>
          </a:pathLst>
        </a:custGeom>
        <a:solidFill>
          <a:srgbClr val="0B304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pt-BR"/>
        </a:p>
      </xdr:txBody>
    </xdr:sp>
    <xdr:clientData/>
  </xdr:twoCellAnchor>
  <xdr:twoCellAnchor editAs="absolute">
    <xdr:from>
      <xdr:col>0</xdr:col>
      <xdr:colOff>1</xdr:colOff>
      <xdr:row>0</xdr:row>
      <xdr:rowOff>114300</xdr:rowOff>
    </xdr:from>
    <xdr:to>
      <xdr:col>1</xdr:col>
      <xdr:colOff>0</xdr:colOff>
      <xdr:row>2</xdr:row>
      <xdr:rowOff>168220</xdr:rowOff>
    </xdr:to>
    <xdr:sp macro="" textlink="">
      <xdr:nvSpPr>
        <xdr:cNvPr id="3" name="Retângulo 3">
          <a:extLst>
            <a:ext uri="{FF2B5EF4-FFF2-40B4-BE49-F238E27FC236}">
              <a16:creationId xmlns:a16="http://schemas.microsoft.com/office/drawing/2014/main" id="{E5698D3A-242C-4B0C-9462-2E11953B719F}"/>
            </a:ext>
          </a:extLst>
        </xdr:cNvPr>
        <xdr:cNvSpPr/>
      </xdr:nvSpPr>
      <xdr:spPr>
        <a:xfrm>
          <a:off x="1" y="114300"/>
          <a:ext cx="2524124" cy="4539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 w="0"/>
              <a:gradFill flip="none" rotWithShape="1">
                <a:gsLst>
                  <a:gs pos="0">
                    <a:schemeClr val="bg2"/>
                  </a:gs>
                  <a:gs pos="42000">
                    <a:srgbClr val="12506C">
                      <a:lumMod val="98000"/>
                      <a:lumOff val="2000"/>
                    </a:srgbClr>
                  </a:gs>
                  <a:gs pos="100000">
                    <a:srgbClr val="0B3041"/>
                  </a:gs>
                </a:gsLst>
                <a:lin ang="0" scaled="1"/>
                <a:tileRect/>
              </a:gra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Arial Black" panose="020B0A04020102020204" pitchFamily="34" charset="0"/>
            </a:rPr>
            <a:t>FOLHA APP</a:t>
          </a:r>
        </a:p>
      </xdr:txBody>
    </xdr:sp>
    <xdr:clientData/>
  </xdr:twoCellAnchor>
  <xdr:twoCellAnchor editAs="absolute">
    <xdr:from>
      <xdr:col>0</xdr:col>
      <xdr:colOff>142876</xdr:colOff>
      <xdr:row>10</xdr:row>
      <xdr:rowOff>49324</xdr:rowOff>
    </xdr:from>
    <xdr:to>
      <xdr:col>0</xdr:col>
      <xdr:colOff>2381251</xdr:colOff>
      <xdr:row>12</xdr:row>
      <xdr:rowOff>29824</xdr:rowOff>
    </xdr:to>
    <xdr:sp macro="" textlink="">
      <xdr:nvSpPr>
        <xdr:cNvPr id="4" name="Retângulo: Cantos Arredondados 3">
          <a:hlinkClick xmlns:r="http://schemas.openxmlformats.org/officeDocument/2006/relationships" r:id="rId1" tooltip="TITULAR"/>
          <a:extLst>
            <a:ext uri="{FF2B5EF4-FFF2-40B4-BE49-F238E27FC236}">
              <a16:creationId xmlns:a16="http://schemas.microsoft.com/office/drawing/2014/main" id="{2E4F1969-B6F9-49CF-BF4F-6F311D55E615}"/>
            </a:ext>
          </a:extLst>
        </xdr:cNvPr>
        <xdr:cNvSpPr/>
      </xdr:nvSpPr>
      <xdr:spPr>
        <a:xfrm>
          <a:off x="142876" y="2154349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142876</xdr:colOff>
      <xdr:row>13</xdr:row>
      <xdr:rowOff>111236</xdr:rowOff>
    </xdr:from>
    <xdr:to>
      <xdr:col>0</xdr:col>
      <xdr:colOff>2381251</xdr:colOff>
      <xdr:row>15</xdr:row>
      <xdr:rowOff>91736</xdr:rowOff>
    </xdr:to>
    <xdr:sp macro="" textlink="">
      <xdr:nvSpPr>
        <xdr:cNvPr id="6" name="Retângulo: Cantos Arredondados 5">
          <a:hlinkClick xmlns:r="http://schemas.openxmlformats.org/officeDocument/2006/relationships" r:id="rId2" tooltip="INFORMES"/>
          <a:extLst>
            <a:ext uri="{FF2B5EF4-FFF2-40B4-BE49-F238E27FC236}">
              <a16:creationId xmlns:a16="http://schemas.microsoft.com/office/drawing/2014/main" id="{85C6B6B7-108F-400C-B0B3-A53BE37D4EF8}"/>
            </a:ext>
          </a:extLst>
        </xdr:cNvPr>
        <xdr:cNvSpPr/>
      </xdr:nvSpPr>
      <xdr:spPr>
        <a:xfrm>
          <a:off x="142876" y="2844911"/>
          <a:ext cx="2238375" cy="399600"/>
        </a:xfrm>
        <a:prstGeom prst="roundRect">
          <a:avLst>
            <a:gd name="adj" fmla="val 50000"/>
          </a:avLst>
        </a:prstGeom>
        <a:noFill/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1090613</xdr:colOff>
      <xdr:row>22</xdr:row>
      <xdr:rowOff>133350</xdr:rowOff>
    </xdr:from>
    <xdr:to>
      <xdr:col>0</xdr:col>
      <xdr:colOff>1433513</xdr:colOff>
      <xdr:row>24</xdr:row>
      <xdr:rowOff>76200</xdr:rowOff>
    </xdr:to>
    <xdr:pic>
      <xdr:nvPicPr>
        <xdr:cNvPr id="7" name="LinkedIn" descr="Ícones brancos de Linkedin – Baixe gratuitamente em SVG, PNG, GIF">
          <a:hlinkClick xmlns:r="http://schemas.openxmlformats.org/officeDocument/2006/relationships" r:id="rId3" tooltip="LinkedIn"/>
          <a:extLst>
            <a:ext uri="{FF2B5EF4-FFF2-40B4-BE49-F238E27FC236}">
              <a16:creationId xmlns:a16="http://schemas.microsoft.com/office/drawing/2014/main" id="{5AAA7677-76CD-4642-B9EE-13F60D1FB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613" y="4733925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9525</xdr:colOff>
      <xdr:row>4</xdr:row>
      <xdr:rowOff>123825</xdr:rowOff>
    </xdr:from>
    <xdr:to>
      <xdr:col>2</xdr:col>
      <xdr:colOff>990600</xdr:colOff>
      <xdr:row>6</xdr:row>
      <xdr:rowOff>104775</xdr:rowOff>
    </xdr:to>
    <xdr:grpSp>
      <xdr:nvGrpSpPr>
        <xdr:cNvPr id="8" name="Agrupar 7">
          <a:hlinkClick xmlns:r="http://schemas.openxmlformats.org/officeDocument/2006/relationships" r:id="rId5" tooltip="INÍCIO"/>
          <a:extLst>
            <a:ext uri="{FF2B5EF4-FFF2-40B4-BE49-F238E27FC236}">
              <a16:creationId xmlns:a16="http://schemas.microsoft.com/office/drawing/2014/main" id="{C8214E76-8661-4351-AF3E-93781EB208E7}"/>
            </a:ext>
          </a:extLst>
        </xdr:cNvPr>
        <xdr:cNvGrpSpPr/>
      </xdr:nvGrpSpPr>
      <xdr:grpSpPr>
        <a:xfrm>
          <a:off x="3219450" y="981075"/>
          <a:ext cx="981075" cy="390525"/>
          <a:chOff x="7581900" y="4238625"/>
          <a:chExt cx="1590675" cy="581025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A46A6D33-17B7-A5B1-6D2D-BC0D847B9B00}"/>
              </a:ext>
            </a:extLst>
          </xdr:cNvPr>
          <xdr:cNvSpPr/>
        </xdr:nvSpPr>
        <xdr:spPr>
          <a:xfrm>
            <a:off x="7581900" y="4238625"/>
            <a:ext cx="1590675" cy="581025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ptos Narrow" panose="020B0004020202020204" pitchFamily="34" charset="0"/>
              </a:rPr>
              <a:t>Anterior</a:t>
            </a:r>
            <a:endParaRPr lang="pt-BR" sz="900" b="1">
              <a:latin typeface="Aptos Narrow" panose="020B0004020202020204" pitchFamily="34" charset="0"/>
            </a:endParaRPr>
          </a:p>
        </xdr:txBody>
      </xdr:sp>
      <xdr:pic>
        <xdr:nvPicPr>
          <xdr:cNvPr id="10" name="Gráfico 9" descr="Círculo com seta para a esquerda com preenchimento sólido">
            <a:extLst>
              <a:ext uri="{FF2B5EF4-FFF2-40B4-BE49-F238E27FC236}">
                <a16:creationId xmlns:a16="http://schemas.microsoft.com/office/drawing/2014/main" id="{163BA931-7EF3-268C-32DC-A6AB84498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591425" y="4238625"/>
            <a:ext cx="569100" cy="5691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190500</xdr:colOff>
      <xdr:row>21</xdr:row>
      <xdr:rowOff>0</xdr:rowOff>
    </xdr:from>
    <xdr:to>
      <xdr:col>0</xdr:col>
      <xdr:colOff>2314575</xdr:colOff>
      <xdr:row>21</xdr:row>
      <xdr:rowOff>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6CC024E0-AABD-4661-8E1C-30066D6DF20E}"/>
            </a:ext>
          </a:extLst>
        </xdr:cNvPr>
        <xdr:cNvCxnSpPr/>
      </xdr:nvCxnSpPr>
      <xdr:spPr>
        <a:xfrm>
          <a:off x="190500" y="4400550"/>
          <a:ext cx="2124075" cy="0"/>
        </a:xfrm>
        <a:prstGeom prst="line">
          <a:avLst/>
        </a:prstGeom>
        <a:ln w="952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142876</xdr:colOff>
      <xdr:row>16</xdr:row>
      <xdr:rowOff>171450</xdr:rowOff>
    </xdr:from>
    <xdr:to>
      <xdr:col>0</xdr:col>
      <xdr:colOff>2381251</xdr:colOff>
      <xdr:row>18</xdr:row>
      <xdr:rowOff>151950</xdr:rowOff>
    </xdr:to>
    <xdr:sp macro="" textlink="">
      <xdr:nvSpPr>
        <xdr:cNvPr id="15" name="Retângulo: Cantos Arredondados 14">
          <a:hlinkClick xmlns:r="http://schemas.openxmlformats.org/officeDocument/2006/relationships" r:id="rId8" tooltip="NOTAS"/>
          <a:extLst>
            <a:ext uri="{FF2B5EF4-FFF2-40B4-BE49-F238E27FC236}">
              <a16:creationId xmlns:a16="http://schemas.microsoft.com/office/drawing/2014/main" id="{DBF041E5-36D2-4B57-9836-716F15EAB74C}"/>
            </a:ext>
          </a:extLst>
        </xdr:cNvPr>
        <xdr:cNvSpPr/>
      </xdr:nvSpPr>
      <xdr:spPr>
        <a:xfrm>
          <a:off x="142876" y="3533775"/>
          <a:ext cx="2238375" cy="399600"/>
        </a:xfrm>
        <a:prstGeom prst="roundRect">
          <a:avLst>
            <a:gd name="adj" fmla="val 50000"/>
          </a:avLst>
        </a:prstGeom>
        <a:gradFill>
          <a:gsLst>
            <a:gs pos="17000">
              <a:srgbClr val="12506C">
                <a:lumMod val="100000"/>
              </a:srgbClr>
            </a:gs>
            <a:gs pos="95000">
              <a:srgbClr val="0B3041">
                <a:alpha val="63000"/>
                <a:lumMod val="80000"/>
                <a:lumOff val="20000"/>
              </a:srgbClr>
            </a:gs>
          </a:gsLst>
          <a:lin ang="10800000" scaled="1"/>
        </a:gradFill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>
              <a:ln w="0"/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uLnTx/>
              <a:uFillTx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BFA3DC-C7CF-4D2D-9EA6-FFDD344CE8E8}" name="TabEntradas" displayName="TabEntradas" ref="C9:E28" totalsRowShown="0" headerRowDxfId="12" dataDxfId="4" tableBorderDxfId="11">
  <autoFilter ref="C9:E28" xr:uid="{D1BFA3DC-C7CF-4D2D-9EA6-FFDD344CE8E8}"/>
  <tableColumns count="3">
    <tableColumn id="1" xr3:uid="{1C505AAE-8425-4B94-AFD7-F2DBB4FD8025}" name="DATA" dataDxfId="2"/>
    <tableColumn id="2" xr3:uid="{CA4A182B-D24C-4DA2-A3DE-F99A7749CDA7}" name="CATEGORIA" dataDxfId="3"/>
    <tableColumn id="3" xr3:uid="{393E3FED-511F-4700-B3A7-EBB7F204FF74}" name="VALOR" dataDxfId="5"/>
  </tableColumns>
  <tableStyleInfo name="Diário de Bordo do Automóve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F6BE9B-F794-4BF5-997D-3E8BD07A5848}" name="TabBancos" displayName="TabBancos" ref="A1:A51" totalsRowShown="0" headerRowDxfId="13" dataDxfId="14">
  <autoFilter ref="A1:A51" xr:uid="{FEF6BE9B-F794-4BF5-997D-3E8BD07A5848}"/>
  <tableColumns count="1">
    <tableColumn id="1" xr3:uid="{ADCB63F5-DED9-40A4-AB32-366E21668509}" name="Bancos" dataDxfId="15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550A74-0C83-4A53-BCCA-34B4A126365D}" name="TabCategoria" displayName="TabCategoria" ref="C1:C6" totalsRowShown="0" headerRowDxfId="6" dataDxfId="7" headerRowBorderDxfId="9" tableBorderDxfId="10">
  <autoFilter ref="C1:C6" xr:uid="{9B550A74-0C83-4A53-BCCA-34B4A126365D}"/>
  <sortState xmlns:xlrd2="http://schemas.microsoft.com/office/spreadsheetml/2017/richdata2" ref="C2:C6">
    <sortCondition ref="C2:C6"/>
  </sortState>
  <tableColumns count="1">
    <tableColumn id="1" xr3:uid="{882AB931-29FD-4D78-A2EB-C6D038AED74F}" name="Categoria" dataDxfId="8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ehicle Log Book">
      <a:dk1>
        <a:sysClr val="windowText" lastClr="000000"/>
      </a:dk1>
      <a:lt1>
        <a:sysClr val="window" lastClr="FFFFFF"/>
      </a:lt1>
      <a:dk2>
        <a:srgbClr val="252E2C"/>
      </a:dk2>
      <a:lt2>
        <a:srgbClr val="EBEBE7"/>
      </a:lt2>
      <a:accent1>
        <a:srgbClr val="F79E20"/>
      </a:accent1>
      <a:accent2>
        <a:srgbClr val="94B9AE"/>
      </a:accent2>
      <a:accent3>
        <a:srgbClr val="ECC942"/>
      </a:accent3>
      <a:accent4>
        <a:srgbClr val="68B57F"/>
      </a:accent4>
      <a:accent5>
        <a:srgbClr val="E37437"/>
      </a:accent5>
      <a:accent6>
        <a:srgbClr val="8A6870"/>
      </a:accent6>
      <a:hlink>
        <a:srgbClr val="94B9AE"/>
      </a:hlink>
      <a:folHlink>
        <a:srgbClr val="8A6870"/>
      </a:folHlink>
    </a:clrScheme>
    <a:fontScheme name="Vehicle Log Book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rcia.cf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899C7-0BBF-4661-B964-9382D2CAF39C}">
  <sheetPr codeName="Planilha1"/>
  <dimension ref="A3:E22"/>
  <sheetViews>
    <sheetView showRowColHeaders="0" workbookViewId="0">
      <selection activeCell="D6" sqref="D6"/>
    </sheetView>
  </sheetViews>
  <sheetFormatPr defaultRowHeight="15.75" x14ac:dyDescent="0.25"/>
  <cols>
    <col min="1" max="1" width="33.125" style="1" customWidth="1"/>
    <col min="3" max="3" width="39.375" bestFit="1" customWidth="1"/>
    <col min="4" max="4" width="39.375" customWidth="1"/>
  </cols>
  <sheetData>
    <row r="3" spans="3:5" ht="20.25" thickBot="1" x14ac:dyDescent="0.3">
      <c r="C3" s="3" t="s">
        <v>20</v>
      </c>
      <c r="D3" s="4"/>
      <c r="E3" s="4"/>
    </row>
    <row r="4" spans="3:5" x14ac:dyDescent="0.25">
      <c r="C4" s="7" t="s">
        <v>21</v>
      </c>
      <c r="D4" s="5"/>
      <c r="E4" s="5"/>
    </row>
    <row r="6" spans="3:5" ht="16.5" x14ac:dyDescent="0.3">
      <c r="C6" s="6" t="s">
        <v>7</v>
      </c>
      <c r="D6" s="26" t="s">
        <v>25</v>
      </c>
    </row>
    <row r="7" spans="3:5" ht="16.5" x14ac:dyDescent="0.3">
      <c r="C7" s="6" t="s">
        <v>8</v>
      </c>
      <c r="D7" s="27">
        <v>11156748925</v>
      </c>
    </row>
    <row r="8" spans="3:5" ht="16.5" x14ac:dyDescent="0.3">
      <c r="C8" s="6" t="s">
        <v>9</v>
      </c>
      <c r="D8" s="28">
        <v>20042005</v>
      </c>
    </row>
    <row r="9" spans="3:5" ht="16.5" x14ac:dyDescent="0.3">
      <c r="C9" s="6" t="s">
        <v>10</v>
      </c>
      <c r="D9" s="26">
        <v>31713389</v>
      </c>
    </row>
    <row r="10" spans="3:5" ht="16.5" x14ac:dyDescent="0.3">
      <c r="C10" s="6" t="s">
        <v>11</v>
      </c>
      <c r="D10" s="26"/>
    </row>
    <row r="11" spans="3:5" ht="16.5" x14ac:dyDescent="0.3">
      <c r="C11" s="6" t="s">
        <v>12</v>
      </c>
      <c r="D11" s="26" t="s">
        <v>12</v>
      </c>
    </row>
    <row r="12" spans="3:5" ht="16.5" x14ac:dyDescent="0.3">
      <c r="C12" s="6" t="s">
        <v>13</v>
      </c>
      <c r="D12" s="26" t="s">
        <v>26</v>
      </c>
    </row>
    <row r="13" spans="3:5" ht="16.5" x14ac:dyDescent="0.3">
      <c r="C13" s="6" t="s">
        <v>14</v>
      </c>
      <c r="D13" s="26" t="s">
        <v>27</v>
      </c>
    </row>
    <row r="14" spans="3:5" ht="16.5" x14ac:dyDescent="0.3">
      <c r="C14" s="6" t="s">
        <v>15</v>
      </c>
      <c r="D14" s="29">
        <v>1166666666</v>
      </c>
    </row>
    <row r="15" spans="3:5" ht="16.5" x14ac:dyDescent="0.3">
      <c r="C15" s="6" t="s">
        <v>16</v>
      </c>
      <c r="D15" s="30">
        <v>11966666666</v>
      </c>
    </row>
    <row r="16" spans="3:5" ht="16.5" x14ac:dyDescent="0.3">
      <c r="C16" s="6" t="s">
        <v>17</v>
      </c>
      <c r="D16" s="31" t="s">
        <v>28</v>
      </c>
    </row>
    <row r="17" spans="1:4" ht="16.5" x14ac:dyDescent="0.3">
      <c r="C17" s="6" t="s">
        <v>18</v>
      </c>
      <c r="D17" s="26" t="s">
        <v>23</v>
      </c>
    </row>
    <row r="18" spans="1:4" ht="16.5" x14ac:dyDescent="0.3">
      <c r="C18" s="6" t="s">
        <v>22</v>
      </c>
      <c r="D18" s="26" t="s">
        <v>24</v>
      </c>
    </row>
    <row r="19" spans="1:4" ht="16.5" x14ac:dyDescent="0.3">
      <c r="C19" s="6" t="s">
        <v>19</v>
      </c>
      <c r="D19" s="26" t="s">
        <v>24</v>
      </c>
    </row>
    <row r="20" spans="1:4" ht="16.5" customHeight="1" x14ac:dyDescent="0.25"/>
    <row r="22" spans="1:4" x14ac:dyDescent="0.25">
      <c r="A22" s="2" t="s">
        <v>6</v>
      </c>
    </row>
  </sheetData>
  <sheetProtection sheet="1" objects="1" scenarios="1" selectLockedCells="1"/>
  <dataValidations count="1">
    <dataValidation type="list" allowBlank="1" showInputMessage="1" showErrorMessage="1" sqref="D17:D19" xr:uid="{3CA0AE18-68CB-4F9C-99E1-066E9A6636DE}">
      <formula1>"SIM,NÃO"</formula1>
    </dataValidation>
  </dataValidations>
  <hyperlinks>
    <hyperlink ref="D16" r:id="rId1" xr:uid="{FFBF1AFF-5DE6-44EF-BFD3-7E8992D16F9F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4965E-9593-4182-BE32-5731DE53B99B}">
  <sheetPr codeName="Planilha2"/>
  <dimension ref="A3:E22"/>
  <sheetViews>
    <sheetView showRowColHeaders="0" workbookViewId="0">
      <selection activeCell="D10" sqref="D10"/>
    </sheetView>
  </sheetViews>
  <sheetFormatPr defaultRowHeight="15.75" x14ac:dyDescent="0.25"/>
  <cols>
    <col min="1" max="1" width="33.125" style="1" customWidth="1"/>
    <col min="3" max="3" width="39.375" bestFit="1" customWidth="1"/>
    <col min="4" max="4" width="39.375" customWidth="1"/>
  </cols>
  <sheetData>
    <row r="3" spans="3:5" ht="20.25" thickBot="1" x14ac:dyDescent="0.3">
      <c r="C3" s="3" t="s">
        <v>29</v>
      </c>
      <c r="D3" s="4"/>
      <c r="E3" s="4"/>
    </row>
    <row r="4" spans="3:5" x14ac:dyDescent="0.25">
      <c r="C4" s="7" t="s">
        <v>30</v>
      </c>
      <c r="D4" s="5"/>
      <c r="E4" s="5"/>
    </row>
    <row r="6" spans="3:5" ht="16.5" customHeight="1" x14ac:dyDescent="0.25">
      <c r="C6" t="s">
        <v>1</v>
      </c>
    </row>
    <row r="7" spans="3:5" ht="16.5" customHeight="1" x14ac:dyDescent="0.25">
      <c r="C7" s="11">
        <f>SUM(D11,D15,D19)</f>
        <v>530000</v>
      </c>
      <c r="D7" s="11"/>
    </row>
    <row r="8" spans="3:5" ht="16.5" customHeight="1" x14ac:dyDescent="0.25"/>
    <row r="9" spans="3:5" ht="16.5" customHeight="1" x14ac:dyDescent="0.2">
      <c r="C9" s="9" t="s">
        <v>85</v>
      </c>
    </row>
    <row r="10" spans="3:5" ht="16.5" customHeight="1" x14ac:dyDescent="0.3">
      <c r="C10" s="6" t="s">
        <v>31</v>
      </c>
      <c r="D10" s="26" t="s">
        <v>52</v>
      </c>
    </row>
    <row r="11" spans="3:5" ht="16.5" customHeight="1" x14ac:dyDescent="0.3">
      <c r="C11" s="6" t="s">
        <v>32</v>
      </c>
      <c r="D11" s="32">
        <v>500000</v>
      </c>
    </row>
    <row r="12" spans="3:5" ht="16.5" customHeight="1" x14ac:dyDescent="0.3">
      <c r="C12" s="6" t="s">
        <v>33</v>
      </c>
      <c r="D12" s="28" t="s">
        <v>99</v>
      </c>
    </row>
    <row r="13" spans="3:5" ht="16.5" customHeight="1" x14ac:dyDescent="0.2">
      <c r="C13" s="9" t="s">
        <v>86</v>
      </c>
      <c r="D13" s="10"/>
    </row>
    <row r="14" spans="3:5" ht="16.5" customHeight="1" x14ac:dyDescent="0.3">
      <c r="C14" s="6" t="s">
        <v>31</v>
      </c>
      <c r="D14" s="26" t="s">
        <v>36</v>
      </c>
    </row>
    <row r="15" spans="3:5" ht="16.5" customHeight="1" x14ac:dyDescent="0.3">
      <c r="C15" s="6" t="s">
        <v>32</v>
      </c>
      <c r="D15" s="32">
        <v>20000</v>
      </c>
    </row>
    <row r="16" spans="3:5" ht="16.5" customHeight="1" x14ac:dyDescent="0.3">
      <c r="C16" s="6" t="s">
        <v>33</v>
      </c>
      <c r="D16" s="28" t="s">
        <v>100</v>
      </c>
    </row>
    <row r="17" spans="1:4" ht="16.5" customHeight="1" x14ac:dyDescent="0.2">
      <c r="C17" s="9" t="s">
        <v>87</v>
      </c>
      <c r="D17" s="10"/>
    </row>
    <row r="18" spans="1:4" ht="16.5" customHeight="1" x14ac:dyDescent="0.3">
      <c r="C18" s="6" t="s">
        <v>31</v>
      </c>
      <c r="D18" s="26" t="s">
        <v>48</v>
      </c>
    </row>
    <row r="19" spans="1:4" ht="16.5" customHeight="1" x14ac:dyDescent="0.3">
      <c r="C19" s="6" t="s">
        <v>32</v>
      </c>
      <c r="D19" s="32">
        <v>10000</v>
      </c>
    </row>
    <row r="20" spans="1:4" ht="16.5" customHeight="1" x14ac:dyDescent="0.3">
      <c r="C20" s="6" t="s">
        <v>33</v>
      </c>
      <c r="D20" s="28" t="s">
        <v>101</v>
      </c>
    </row>
    <row r="22" spans="1:4" x14ac:dyDescent="0.25">
      <c r="A22" s="2" t="s">
        <v>6</v>
      </c>
    </row>
  </sheetData>
  <sheetProtection sheet="1" objects="1" scenarios="1" selectLockedCells="1"/>
  <mergeCells count="1">
    <mergeCell ref="C7:D7"/>
  </mergeCell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." promptTitle="Banco" prompt="Informe um banco vinculado ao seu CPF" xr:uid="{6F6BF54F-66FD-44A8-BFA4-02AAE1D6F0CE}">
          <x14:formula1>
            <xm:f>APOIO!$A$2:$A$51</xm:f>
          </x14:formula1>
          <xm:sqref>D10 D14 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DD529-3AFF-41EA-9BD7-9237DF200B20}">
  <sheetPr codeName="Planilha3"/>
  <dimension ref="A3:E28"/>
  <sheetViews>
    <sheetView showRowColHeaders="0" tabSelected="1" workbookViewId="0">
      <selection activeCell="C1" sqref="C1"/>
    </sheetView>
  </sheetViews>
  <sheetFormatPr defaultRowHeight="15.75" x14ac:dyDescent="0.25"/>
  <cols>
    <col min="1" max="1" width="33.125" style="1" customWidth="1"/>
    <col min="3" max="5" width="21.875" customWidth="1"/>
  </cols>
  <sheetData>
    <row r="3" spans="3:5" ht="20.25" thickBot="1" x14ac:dyDescent="0.3">
      <c r="C3" s="3" t="s">
        <v>89</v>
      </c>
      <c r="D3" s="4"/>
      <c r="E3" s="4"/>
    </row>
    <row r="4" spans="3:5" x14ac:dyDescent="0.25">
      <c r="C4" s="7" t="s">
        <v>88</v>
      </c>
      <c r="D4" s="5"/>
      <c r="E4" s="5"/>
    </row>
    <row r="6" spans="3:5" ht="16.5" customHeight="1" x14ac:dyDescent="0.25"/>
    <row r="7" spans="3:5" ht="16.5" customHeight="1" x14ac:dyDescent="0.25"/>
    <row r="8" spans="3:5" ht="16.5" customHeight="1" x14ac:dyDescent="0.3">
      <c r="C8" s="13" t="s">
        <v>90</v>
      </c>
      <c r="D8" s="13"/>
      <c r="E8" s="13"/>
    </row>
    <row r="9" spans="3:5" ht="16.5" customHeight="1" thickBot="1" x14ac:dyDescent="0.3">
      <c r="C9" s="12" t="s">
        <v>0</v>
      </c>
      <c r="D9" s="12" t="s">
        <v>91</v>
      </c>
      <c r="E9" s="12" t="s">
        <v>92</v>
      </c>
    </row>
    <row r="10" spans="3:5" ht="16.5" customHeight="1" x14ac:dyDescent="0.25">
      <c r="C10" s="17">
        <v>45814</v>
      </c>
      <c r="D10" s="21" t="s">
        <v>94</v>
      </c>
      <c r="E10" s="16">
        <v>58265.37</v>
      </c>
    </row>
    <row r="11" spans="3:5" ht="16.5" customHeight="1" x14ac:dyDescent="0.25">
      <c r="C11" s="18"/>
      <c r="D11" s="22"/>
      <c r="E11" s="20"/>
    </row>
    <row r="12" spans="3:5" ht="16.5" customHeight="1" x14ac:dyDescent="0.25">
      <c r="C12" s="18"/>
      <c r="D12" s="23"/>
      <c r="E12" s="20"/>
    </row>
    <row r="13" spans="3:5" ht="16.5" customHeight="1" x14ac:dyDescent="0.25">
      <c r="C13" s="18"/>
      <c r="D13" s="24"/>
      <c r="E13" s="20"/>
    </row>
    <row r="14" spans="3:5" ht="16.5" customHeight="1" x14ac:dyDescent="0.25">
      <c r="C14" s="18"/>
      <c r="D14" s="22"/>
      <c r="E14" s="20"/>
    </row>
    <row r="15" spans="3:5" ht="16.5" customHeight="1" x14ac:dyDescent="0.25">
      <c r="C15" s="18"/>
      <c r="D15" s="22"/>
      <c r="E15" s="20"/>
    </row>
    <row r="16" spans="3:5" ht="16.5" customHeight="1" x14ac:dyDescent="0.25">
      <c r="C16" s="18"/>
      <c r="D16" s="23"/>
      <c r="E16" s="20"/>
    </row>
    <row r="17" spans="1:5" ht="16.5" customHeight="1" x14ac:dyDescent="0.25">
      <c r="C17" s="18"/>
      <c r="D17" s="24"/>
      <c r="E17" s="20"/>
    </row>
    <row r="18" spans="1:5" ht="16.5" customHeight="1" x14ac:dyDescent="0.25">
      <c r="C18" s="18"/>
      <c r="D18" s="22"/>
      <c r="E18" s="20"/>
    </row>
    <row r="19" spans="1:5" ht="16.5" customHeight="1" x14ac:dyDescent="0.25">
      <c r="C19" s="18"/>
      <c r="D19" s="22"/>
      <c r="E19" s="20"/>
    </row>
    <row r="20" spans="1:5" ht="16.5" customHeight="1" x14ac:dyDescent="0.25">
      <c r="C20" s="18"/>
      <c r="D20" s="23"/>
      <c r="E20" s="20"/>
    </row>
    <row r="21" spans="1:5" x14ac:dyDescent="0.25">
      <c r="C21" s="18"/>
      <c r="D21" s="24"/>
      <c r="E21" s="20"/>
    </row>
    <row r="22" spans="1:5" x14ac:dyDescent="0.25">
      <c r="A22" s="2" t="s">
        <v>6</v>
      </c>
      <c r="C22" s="19"/>
      <c r="D22" s="25"/>
      <c r="E22" s="20"/>
    </row>
    <row r="23" spans="1:5" x14ac:dyDescent="0.25">
      <c r="C23" s="19"/>
      <c r="D23" s="25"/>
      <c r="E23" s="20"/>
    </row>
    <row r="24" spans="1:5" x14ac:dyDescent="0.25">
      <c r="C24" s="19"/>
      <c r="D24" s="25"/>
      <c r="E24" s="20"/>
    </row>
    <row r="25" spans="1:5" x14ac:dyDescent="0.25">
      <c r="C25" s="19"/>
      <c r="D25" s="25"/>
      <c r="E25" s="20"/>
    </row>
    <row r="26" spans="1:5" x14ac:dyDescent="0.25">
      <c r="C26" s="19"/>
      <c r="D26" s="25"/>
      <c r="E26" s="20"/>
    </row>
    <row r="27" spans="1:5" x14ac:dyDescent="0.25">
      <c r="C27" s="19"/>
      <c r="D27" s="25"/>
      <c r="E27" s="20"/>
    </row>
    <row r="28" spans="1:5" x14ac:dyDescent="0.25">
      <c r="C28" s="19"/>
      <c r="D28" s="25"/>
      <c r="E28" s="20"/>
    </row>
  </sheetData>
  <mergeCells count="1">
    <mergeCell ref="C8:E8"/>
  </mergeCells>
  <pageMargins left="0.31496062992125984" right="0.31496062992125984" top="0.78740157480314965" bottom="0.78740157480314965" header="0.31496062992125984" footer="0.31496062992125984"/>
  <pageSetup paperSize="9" orientation="landscape" horizontalDpi="0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62913E-0F33-4489-B8A0-D1E56CC57995}">
          <x14:formula1>
            <xm:f>APOIO!$C$2:$C$6</xm:f>
          </x14:formula1>
          <xm:sqref>D10:D27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930E5-5C8D-4C04-A490-6CE5CEBC48C7}">
  <dimension ref="A1:C51"/>
  <sheetViews>
    <sheetView workbookViewId="0">
      <selection activeCell="C4" sqref="C4"/>
    </sheetView>
  </sheetViews>
  <sheetFormatPr defaultRowHeight="15.75" x14ac:dyDescent="0.25"/>
  <cols>
    <col min="1" max="1" width="34" bestFit="1" customWidth="1"/>
    <col min="3" max="3" width="10.5" bestFit="1" customWidth="1"/>
  </cols>
  <sheetData>
    <row r="1" spans="1:3" ht="16.5" thickBot="1" x14ac:dyDescent="0.3">
      <c r="A1" s="8" t="s">
        <v>84</v>
      </c>
      <c r="C1" s="15" t="s">
        <v>93</v>
      </c>
    </row>
    <row r="2" spans="1:3" x14ac:dyDescent="0.25">
      <c r="A2" s="8" t="s">
        <v>34</v>
      </c>
      <c r="C2" s="14" t="s">
        <v>97</v>
      </c>
    </row>
    <row r="3" spans="1:3" x14ac:dyDescent="0.25">
      <c r="A3" s="8" t="s">
        <v>35</v>
      </c>
      <c r="C3" s="14" t="s">
        <v>98</v>
      </c>
    </row>
    <row r="4" spans="1:3" x14ac:dyDescent="0.25">
      <c r="A4" s="8" t="s">
        <v>36</v>
      </c>
      <c r="C4" s="14" t="s">
        <v>95</v>
      </c>
    </row>
    <row r="5" spans="1:3" x14ac:dyDescent="0.25">
      <c r="A5" s="8" t="s">
        <v>37</v>
      </c>
      <c r="C5" s="14" t="s">
        <v>96</v>
      </c>
    </row>
    <row r="6" spans="1:3" x14ac:dyDescent="0.25">
      <c r="A6" s="8" t="s">
        <v>38</v>
      </c>
      <c r="C6" s="14" t="s">
        <v>94</v>
      </c>
    </row>
    <row r="7" spans="1:3" x14ac:dyDescent="0.25">
      <c r="A7" s="8" t="s">
        <v>39</v>
      </c>
    </row>
    <row r="8" spans="1:3" x14ac:dyDescent="0.25">
      <c r="A8" s="8" t="s">
        <v>40</v>
      </c>
    </row>
    <row r="9" spans="1:3" x14ac:dyDescent="0.25">
      <c r="A9" s="8" t="s">
        <v>41</v>
      </c>
    </row>
    <row r="10" spans="1:3" x14ac:dyDescent="0.25">
      <c r="A10" s="8" t="s">
        <v>42</v>
      </c>
    </row>
    <row r="11" spans="1:3" x14ac:dyDescent="0.25">
      <c r="A11" s="8" t="s">
        <v>43</v>
      </c>
    </row>
    <row r="12" spans="1:3" x14ac:dyDescent="0.25">
      <c r="A12" s="8" t="s">
        <v>44</v>
      </c>
    </row>
    <row r="13" spans="1:3" x14ac:dyDescent="0.25">
      <c r="A13" s="8" t="s">
        <v>45</v>
      </c>
    </row>
    <row r="14" spans="1:3" x14ac:dyDescent="0.25">
      <c r="A14" s="8" t="s">
        <v>46</v>
      </c>
    </row>
    <row r="15" spans="1:3" x14ac:dyDescent="0.25">
      <c r="A15" s="8" t="s">
        <v>47</v>
      </c>
    </row>
    <row r="16" spans="1:3" x14ac:dyDescent="0.25">
      <c r="A16" s="8" t="s">
        <v>48</v>
      </c>
    </row>
    <row r="17" spans="1:1" x14ac:dyDescent="0.25">
      <c r="A17" s="8" t="s">
        <v>49</v>
      </c>
    </row>
    <row r="18" spans="1:1" x14ac:dyDescent="0.25">
      <c r="A18" s="8" t="s">
        <v>50</v>
      </c>
    </row>
    <row r="19" spans="1:1" x14ac:dyDescent="0.25">
      <c r="A19" s="8" t="s">
        <v>51</v>
      </c>
    </row>
    <row r="20" spans="1:1" x14ac:dyDescent="0.25">
      <c r="A20" s="8" t="s">
        <v>52</v>
      </c>
    </row>
    <row r="21" spans="1:1" x14ac:dyDescent="0.25">
      <c r="A21" s="8" t="s">
        <v>53</v>
      </c>
    </row>
    <row r="22" spans="1:1" x14ac:dyDescent="0.25">
      <c r="A22" s="8" t="s">
        <v>54</v>
      </c>
    </row>
    <row r="23" spans="1:1" x14ac:dyDescent="0.25">
      <c r="A23" s="8" t="s">
        <v>55</v>
      </c>
    </row>
    <row r="24" spans="1:1" x14ac:dyDescent="0.25">
      <c r="A24" s="8" t="s">
        <v>56</v>
      </c>
    </row>
    <row r="25" spans="1:1" x14ac:dyDescent="0.25">
      <c r="A25" s="8" t="s">
        <v>57</v>
      </c>
    </row>
    <row r="26" spans="1:1" x14ac:dyDescent="0.25">
      <c r="A26" s="8" t="s">
        <v>58</v>
      </c>
    </row>
    <row r="27" spans="1:1" x14ac:dyDescent="0.25">
      <c r="A27" s="8" t="s">
        <v>59</v>
      </c>
    </row>
    <row r="28" spans="1:1" x14ac:dyDescent="0.25">
      <c r="A28" s="8" t="s">
        <v>60</v>
      </c>
    </row>
    <row r="29" spans="1:1" x14ac:dyDescent="0.25">
      <c r="A29" s="8" t="s">
        <v>61</v>
      </c>
    </row>
    <row r="30" spans="1:1" x14ac:dyDescent="0.25">
      <c r="A30" s="8" t="s">
        <v>62</v>
      </c>
    </row>
    <row r="31" spans="1:1" x14ac:dyDescent="0.25">
      <c r="A31" s="8" t="s">
        <v>63</v>
      </c>
    </row>
    <row r="32" spans="1:1" x14ac:dyDescent="0.25">
      <c r="A32" s="8" t="s">
        <v>64</v>
      </c>
    </row>
    <row r="33" spans="1:1" x14ac:dyDescent="0.25">
      <c r="A33" s="8" t="s">
        <v>65</v>
      </c>
    </row>
    <row r="34" spans="1:1" x14ac:dyDescent="0.25">
      <c r="A34" s="8" t="s">
        <v>66</v>
      </c>
    </row>
    <row r="35" spans="1:1" x14ac:dyDescent="0.25">
      <c r="A35" s="8" t="s">
        <v>67</v>
      </c>
    </row>
    <row r="36" spans="1:1" x14ac:dyDescent="0.25">
      <c r="A36" s="8" t="s">
        <v>68</v>
      </c>
    </row>
    <row r="37" spans="1:1" x14ac:dyDescent="0.25">
      <c r="A37" s="8" t="s">
        <v>69</v>
      </c>
    </row>
    <row r="38" spans="1:1" x14ac:dyDescent="0.25">
      <c r="A38" s="8" t="s">
        <v>70</v>
      </c>
    </row>
    <row r="39" spans="1:1" x14ac:dyDescent="0.25">
      <c r="A39" s="8" t="s">
        <v>71</v>
      </c>
    </row>
    <row r="40" spans="1:1" x14ac:dyDescent="0.25">
      <c r="A40" s="8" t="s">
        <v>72</v>
      </c>
    </row>
    <row r="41" spans="1:1" x14ac:dyDescent="0.25">
      <c r="A41" s="8" t="s">
        <v>73</v>
      </c>
    </row>
    <row r="42" spans="1:1" x14ac:dyDescent="0.25">
      <c r="A42" s="8" t="s">
        <v>74</v>
      </c>
    </row>
    <row r="43" spans="1:1" x14ac:dyDescent="0.25">
      <c r="A43" s="8" t="s">
        <v>75</v>
      </c>
    </row>
    <row r="44" spans="1:1" x14ac:dyDescent="0.25">
      <c r="A44" s="8" t="s">
        <v>76</v>
      </c>
    </row>
    <row r="45" spans="1:1" x14ac:dyDescent="0.25">
      <c r="A45" s="8" t="s">
        <v>77</v>
      </c>
    </row>
    <row r="46" spans="1:1" x14ac:dyDescent="0.25">
      <c r="A46" s="8" t="s">
        <v>78</v>
      </c>
    </row>
    <row r="47" spans="1:1" x14ac:dyDescent="0.25">
      <c r="A47" s="8" t="s">
        <v>79</v>
      </c>
    </row>
    <row r="48" spans="1:1" x14ac:dyDescent="0.25">
      <c r="A48" s="8" t="s">
        <v>80</v>
      </c>
    </row>
    <row r="49" spans="1:1" x14ac:dyDescent="0.25">
      <c r="A49" s="8" t="s">
        <v>81</v>
      </c>
    </row>
    <row r="50" spans="1:1" x14ac:dyDescent="0.25">
      <c r="A50" s="8" t="s">
        <v>82</v>
      </c>
    </row>
    <row r="51" spans="1:1" x14ac:dyDescent="0.25">
      <c r="A51" s="8" t="s">
        <v>83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C6"/>
  <sheetViews>
    <sheetView workbookViewId="0"/>
  </sheetViews>
  <sheetFormatPr defaultRowHeight="15.75" x14ac:dyDescent="0.25"/>
  <cols>
    <col min="2" max="2" width="15" bestFit="1" customWidth="1"/>
    <col min="3" max="3" width="24.375" customWidth="1"/>
  </cols>
  <sheetData>
    <row r="1" spans="1:3" x14ac:dyDescent="0.25">
      <c r="A1" t="s">
        <v>3</v>
      </c>
    </row>
    <row r="4" spans="1:3" x14ac:dyDescent="0.25">
      <c r="B4" t="s">
        <v>5</v>
      </c>
      <c r="C4" t="e">
        <f>SUM(#REF!)</f>
        <v>#REF!</v>
      </c>
    </row>
    <row r="5" spans="1:3" x14ac:dyDescent="0.25">
      <c r="B5" t="s">
        <v>2</v>
      </c>
      <c r="C5" t="e">
        <f>SUM(#REF!)</f>
        <v>#REF!</v>
      </c>
    </row>
    <row r="6" spans="1:3" x14ac:dyDescent="0.25">
      <c r="B6" t="s">
        <v>4</v>
      </c>
      <c r="C6" t="e">
        <f>SUM(#REF!)</f>
        <v>#REF!</v>
      </c>
    </row>
  </sheetData>
  <pageMargins left="0.7" right="0.7" top="0.75" bottom="0.75" header="0.3" footer="0.3"/>
  <pageSetup orientation="portrait" horizontalDpi="4294967294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242593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2013-02-12T20:44:00+00:00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490545</Value>
    </PublishStatusLookup>
    <APAuthor xmlns="e5d022ff-4ce9-4922-b5a4-f245e35e2aac">
      <UserInfo>
        <DisplayName>System Account</DisplayName>
        <AccountId>1073741823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>TP</AssetType>
    <MachineTranslated xmlns="e5d022ff-4ce9-4922-b5a4-f245e35e2aac">false</MachineTranslated>
    <OutputCachingOn xmlns="e5d022ff-4ce9-4922-b5a4-f245e35e2aac">true</OutputCachingOn>
    <TemplateStatus xmlns="e5d022ff-4ce9-4922-b5a4-f245e35e2aac" xsi:nil="true"/>
    <IsSearchable xmlns="e5d022ff-4ce9-4922-b5a4-f245e35e2aac">true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 xsi:nil="true"/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true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TP104014189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6D775420-FCDD-46F4-B0C0-6330E97E6CE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445379-3BA9-49CA-9793-51B40504B2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022ff-4ce9-4922-b5a4-f245e35e2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96B887-FA76-4902-B4A3-EB983206D388}">
  <ds:schemaRefs>
    <ds:schemaRef ds:uri="http://schemas.microsoft.com/office/2006/metadata/properties"/>
    <ds:schemaRef ds:uri="http://schemas.microsoft.com/office/infopath/2007/PartnerControls"/>
    <ds:schemaRef ds:uri="e5d022ff-4ce9-4922-b5a4-f245e35e2a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TM04014212</Templat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TITULAR</vt:lpstr>
      <vt:lpstr>INFORMES</vt:lpstr>
      <vt:lpstr>NOTAS</vt:lpstr>
      <vt:lpstr>APOIO</vt:lpstr>
      <vt:lpstr>cálculos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Marcia C R S Oliveira</dc:creator>
  <cp:lastModifiedBy>Marcia Ribeiro</cp:lastModifiedBy>
  <cp:lastPrinted>2025-06-06T20:28:28Z</cp:lastPrinted>
  <dcterms:created xsi:type="dcterms:W3CDTF">2013-02-12T20:25:50Z</dcterms:created>
  <dcterms:modified xsi:type="dcterms:W3CDTF">2025-06-06T21:10:20Z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